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work\STS2-GuZhenRenRubild\GuZhenRenRebuild\Docs\光道设计\"/>
    </mc:Choice>
  </mc:AlternateContent>
  <xr:revisionPtr revIDLastSave="0" documentId="13_ncr:1_{C61C0136-3743-46ED-A596-8F80004449D7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总览" sheetId="1" r:id="rId1"/>
    <sheet name="变更说明" sheetId="2" r:id="rId2"/>
    <sheet name="蛊虫设计" sheetId="3" r:id="rId3"/>
    <sheet name="伴生牌" sheetId="4" r:id="rId4"/>
    <sheet name="合练升炼" sheetId="5" r:id="rId5"/>
    <sheet name="机制与数值基准" sheetId="6" r:id="rId6"/>
    <sheet name="实测记录" sheetId="7" r:id="rId7"/>
    <sheet name="插图需求" sheetId="8" r:id="rId8"/>
  </sheets>
  <calcPr calcId="191029"/>
</workbook>
</file>

<file path=xl/calcChain.xml><?xml version="1.0" encoding="utf-8"?>
<calcChain xmlns="http://schemas.openxmlformats.org/spreadsheetml/2006/main">
  <c r="I13" i="5" l="1"/>
  <c r="J13" i="5" s="1"/>
  <c r="J12" i="5"/>
  <c r="I12" i="5"/>
  <c r="J11" i="5"/>
  <c r="I11" i="5"/>
  <c r="I10" i="5"/>
  <c r="J10" i="5" s="1"/>
  <c r="I9" i="5"/>
  <c r="J9" i="5" s="1"/>
  <c r="I8" i="5"/>
  <c r="J8" i="5" s="1"/>
  <c r="I7" i="5"/>
  <c r="J7" i="5" s="1"/>
  <c r="J6" i="5"/>
  <c r="I6" i="5"/>
  <c r="I5" i="5"/>
  <c r="J5" i="5" s="1"/>
  <c r="I4" i="5"/>
  <c r="J4" i="5" s="1"/>
  <c r="I3" i="5"/>
  <c r="J3" i="5" s="1"/>
  <c r="I2" i="5"/>
  <c r="J2" i="5" s="1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T18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  <c r="T2" i="4"/>
  <c r="S2" i="4"/>
  <c r="R2" i="4"/>
  <c r="Q2" i="4"/>
</calcChain>
</file>

<file path=xl/sharedStrings.xml><?xml version="1.0" encoding="utf-8"?>
<sst xmlns="http://schemas.openxmlformats.org/spreadsheetml/2006/main" count="1702" uniqueCount="755">
  <si>
    <t>GuZhenRenRebuild 光道与月系卡牌设计｜聚光重复版</t>
  </si>
  <si>
    <t>版本：2026-09-17 聚光重复机制版｜核心变更：聚光不再增加折光数值，改为有限次数的“折光段重复结算”</t>
  </si>
  <si>
    <t>项目</t>
  </si>
  <si>
    <t>数量</t>
  </si>
  <si>
    <t>新版聚光一句话</t>
  </si>
  <si>
    <t>蛊虫类型</t>
  </si>
  <si>
    <t>聚光 X：接下来X次“数值型折光”各自额外结算一次折光段；每次只消耗1层。纯功能折光既不消耗聚光，也不会被聚光重复。</t>
  </si>
  <si>
    <t>转数配置行</t>
  </si>
  <si>
    <t>伴生定义行</t>
  </si>
  <si>
    <t>合练/升炼节点</t>
  </si>
  <si>
    <t>判定在折光开始前完成；本次折光过程中生成的新聚光只能留给后续牌。</t>
  </si>
  <si>
    <t>当前路线</t>
  </si>
  <si>
    <t>纯光：辉光(1–2) + 炫光(2) → 光虹(3)；光虹(3)+光源(3) → 聚光(4)；炫光(4)+借光(4) → 太光(5)</t>
  </si>
  <si>
    <t>月系：月光(1)+玉皮(1) → 月霓裳(2) → 皓月霓裳(3) → 宝月霓裳(4) → 宝月光王(5)</t>
  </si>
  <si>
    <t>六转并流：太光(5) + 宝月光王(5) → 恒光仙蛊(6–8)</t>
  </si>
  <si>
    <t>九转：恒光仙蛊(8) + 太光蛊(5) → 光蛊(9)</t>
  </si>
  <si>
    <t>旧版</t>
  </si>
  <si>
    <t>新版</t>
  </si>
  <si>
    <t>设计影响</t>
  </si>
  <si>
    <t>聚光定义</t>
  </si>
  <si>
    <t>下一次数值型折光 +X，然后清零</t>
  </si>
  <si>
    <t>X次重复机会；每次数值型折光消耗1并重复折光段1次</t>
  </si>
  <si>
    <t>从线性加法变成离散的结算次数资源</t>
  </si>
  <si>
    <t>聚光消耗</t>
  </si>
  <si>
    <t>一次使用全部清零</t>
  </si>
  <si>
    <t>每次只消耗1层</t>
  </si>
  <si>
    <t>可以把聚光分配给多张牌，而不是全压一张</t>
  </si>
  <si>
    <t>纯功能折光</t>
  </si>
  <si>
    <t>不消耗旧聚光</t>
  </si>
  <si>
    <t>不消耗且不重复</t>
  </si>
  <si>
    <t>抽牌/回元气/回收牌不被成倍复制</t>
  </si>
  <si>
    <t>聚光蛊</t>
  </si>
  <si>
    <t>提高下次数值</t>
  </si>
  <si>
    <t>生产折光重复机会</t>
  </si>
  <si>
    <t>真正成为机制发动机</t>
  </si>
  <si>
    <t>借光蛊</t>
  </si>
  <si>
    <t>副聚光数值来源</t>
  </si>
  <si>
    <t>聚光为空时补1层，催动后可稳定补1层</t>
  </si>
  <si>
    <t>偏续航，不与聚光蛊抢主发动机定位</t>
  </si>
  <si>
    <t>太光蛊</t>
  </si>
  <si>
    <t>自己直接重复折光</t>
  </si>
  <si>
    <t>改成“聚光重复的爆发受益者”</t>
  </si>
  <si>
    <t>避免太光与聚光机制完全重叠</t>
  </si>
  <si>
    <t>恒光仙蛊</t>
  </si>
  <si>
    <t>消耗聚光后返还部分数值聚光</t>
  </si>
  <si>
    <t>折光重复后返还1聚光并强制下一张折光</t>
  </si>
  <si>
    <t>把一次重复继续传向下一张</t>
  </si>
  <si>
    <t>月王辉</t>
  </si>
  <si>
    <t>获得2聚光</t>
  </si>
  <si>
    <t>基础1聚光，强化后2聚光</t>
  </si>
  <si>
    <t>新聚光价值更高，因此降低产量</t>
  </si>
  <si>
    <t>DesignID</t>
  </si>
  <si>
    <t>路线</t>
  </si>
  <si>
    <t>蛊虫</t>
  </si>
  <si>
    <t>转数</t>
  </si>
  <si>
    <t>窗口</t>
  </si>
  <si>
    <t>稀有度</t>
  </si>
  <si>
    <t>来源</t>
  </si>
  <si>
    <t>催动形态</t>
  </si>
  <si>
    <t>元气</t>
  </si>
  <si>
    <t>冷却</t>
  </si>
  <si>
    <t>仙元</t>
  </si>
  <si>
    <t>直接催动</t>
  </si>
  <si>
    <t>伴生结构</t>
  </si>
  <si>
    <t>催动增幅</t>
  </si>
  <si>
    <t>定位</t>
  </si>
  <si>
    <t>数值风险</t>
  </si>
  <si>
    <t>实测状态</t>
  </si>
  <si>
    <t>调整备注</t>
  </si>
  <si>
    <t>GU_HUIGUANG_R1</t>
  </si>
  <si>
    <t>光道主线</t>
  </si>
  <si>
    <t>辉光蛊</t>
  </si>
  <si>
    <t>1–2</t>
  </si>
  <si>
    <t>Common</t>
  </si>
  <si>
    <t>模组原创</t>
  </si>
  <si>
    <t>A 弱直接</t>
  </si>
  <si>
    <t>—</t>
  </si>
  <si>
    <t>造成1点伤害</t>
  </si>
  <si>
    <t>辉光矢×2</t>
  </si>
  <si>
    <t>两张辉光矢各获得1层【辉映】：每层使折光伤害+1；最多2层；每张本场最多触发2次。</t>
  </si>
  <si>
    <t>低阶攻击密度 / 折光教学</t>
  </si>
  <si>
    <t>两张伴生导致攻击密度较高</t>
  </si>
  <si>
    <t>待实测</t>
  </si>
  <si>
    <t>GU_HUIGUANG_R2</t>
  </si>
  <si>
    <t>造成2点伤害</t>
  </si>
  <si>
    <t>两张辉光矢各获得2层【辉映】：每层使折光伤害+1；最多2层；每张本场最多触发2次。</t>
  </si>
  <si>
    <t>被聚光重复后强化折光也会重复，注意乘算</t>
  </si>
  <si>
    <t>GU_XUANGUANG_R2</t>
  </si>
  <si>
    <t>光道材料/辅助</t>
  </si>
  <si>
    <t>炫光蛊</t>
  </si>
  <si>
    <t>2–4</t>
  </si>
  <si>
    <t>Uncommon</t>
  </si>
  <si>
    <t>原著名/效果模组化</t>
  </si>
  <si>
    <t>B 纯增幅</t>
  </si>
  <si>
    <t>无</t>
  </si>
  <si>
    <t>炫光幕×1</t>
  </si>
  <si>
    <t>炫光幕本场前2次折光时，额外获得2点格挡。</t>
  </si>
  <si>
    <t>技能侧折光修正 / 攻击接续</t>
  </si>
  <si>
    <t>数值+强制折光会被聚光整段重复，但强制折光本身不叠加</t>
  </si>
  <si>
    <t>GU_XUANGUANG_R3</t>
  </si>
  <si>
    <t>炫光幕本场前2次折光时，额外获得3点格挡。</t>
  </si>
  <si>
    <t>GU_XUANGUANG_R4</t>
  </si>
  <si>
    <t>炫光幕本场前2次折光时，额外获得4点格挡。</t>
  </si>
  <si>
    <t>GU_GUANGHONG_R3</t>
  </si>
  <si>
    <t>光虹蛊</t>
  </si>
  <si>
    <t>3</t>
  </si>
  <si>
    <t>虹步×2</t>
  </si>
  <si>
    <t>两张虹步各获得1次【虹行】：成功折光后，使下一张拥有折光段的牌强制折光。</t>
  </si>
  <si>
    <t>技能循环 / 延续折光</t>
  </si>
  <si>
    <t>纯功能折光不消耗聚光</t>
  </si>
  <si>
    <t>GU_GUANGYUAN_R1</t>
  </si>
  <si>
    <t>光源蛊</t>
  </si>
  <si>
    <t>1–3</t>
  </si>
  <si>
    <t>引光×1</t>
  </si>
  <si>
    <t>引光本场前2次折光时，额外获得2点格挡。</t>
  </si>
  <si>
    <t>折光回元气 / 技能动作</t>
  </si>
  <si>
    <t>回元气为纯功能折光，不会被聚光复制</t>
  </si>
  <si>
    <t>GU_GUANGYUAN_R2</t>
  </si>
  <si>
    <t>引光本场前2次折光时，额外获得3点格挡。</t>
  </si>
  <si>
    <t>GU_GUANGYUAN_R3</t>
  </si>
  <si>
    <t>引光本场前2次折光时，额外获得4点格挡。</t>
  </si>
  <si>
    <t>GU_JUGUANG_R4</t>
  </si>
  <si>
    <t>4</t>
  </si>
  <si>
    <t>Rare</t>
  </si>
  <si>
    <t>聚光镜×1</t>
  </si>
  <si>
    <t>聚光镜获得2次【汇光】：成功折光时额外获得1聚光，因此该次共获得2聚光。</t>
  </si>
  <si>
    <t>聚光核心 / 制造折光重复机会</t>
  </si>
  <si>
    <t>2次强化最多额外制造2次重复机会，重点观察牌组爆发</t>
  </si>
  <si>
    <t>GU_JIEGUANG_R4</t>
  </si>
  <si>
    <t>借光束×1</t>
  </si>
  <si>
    <t>借光束获得2次【借辉】：这两次折光无论当前是否已有聚光，均获得1聚光；未强化时仅在聚光为0时获得。</t>
  </si>
  <si>
    <t>攻击动作 / 聚光续接</t>
  </si>
  <si>
    <t>只能补1层，不能像聚光蛊一样快速囤积</t>
  </si>
  <si>
    <t>GU_TAIGUANG_R5</t>
  </si>
  <si>
    <t>5</t>
  </si>
  <si>
    <t>太光贯×1</t>
  </si>
  <si>
    <t>太光贯获得1次【太照】：下一次它的折光因聚光发生重复时，第二次折光伤害额外+4。</t>
  </si>
  <si>
    <t>五转聚光爆发终端 / 重复折光收益</t>
  </si>
  <si>
    <t>单卡聚光爆发高，但只强化一次重复</t>
  </si>
  <si>
    <t>GU_HENGGUANG_R6</t>
  </si>
  <si>
    <t>六转后主线</t>
  </si>
  <si>
    <t>6–8</t>
  </si>
  <si>
    <t>仙蛊</t>
  </si>
  <si>
    <t>按现行仙元规则</t>
  </si>
  <si>
    <t>恒光刃×1 + 恒光障×1</t>
  </si>
  <si>
    <t>两张伴生各获得1次【恒照】：若本牌本次折光因聚光发生重复，则重复结算后获得1聚光，并使下一张拥有折光段的牌强制折光。</t>
  </si>
  <si>
    <t>仙级连续折光 / 让重复向后传递</t>
  </si>
  <si>
    <t>返还聚光只发生在恒光伴生，仍需检查高转长链稳定度</t>
  </si>
  <si>
    <t>GU_HENGGUANG_R7</t>
  </si>
  <si>
    <t>两张伴生各获得2次【恒照】：若本牌本次折光因聚光发生重复，则重复结算后获得1聚光，并使下一张拥有折光段的牌强制折光。</t>
  </si>
  <si>
    <t>GU_HENGGUANG_R8</t>
  </si>
  <si>
    <t>两张伴生各获得3次【恒照】：若本牌本次折光因聚光发生重复，则重复结算后获得1聚光，并使下一张拥有折光段的牌强制折光。</t>
  </si>
  <si>
    <t>GU_GUANG_R9</t>
  </si>
  <si>
    <t>光蛊</t>
  </si>
  <si>
    <t>9</t>
  </si>
  <si>
    <t>九转仙蛊</t>
  </si>
  <si>
    <t>规则级增幅</t>
  </si>
  <si>
    <t>本回合所有拥有折光段的普通牌均视为满足折光条件</t>
  </si>
  <si>
    <t>光耀×1 + 光界×1</t>
  </si>
  <si>
    <t>不额外附加独立强化状态；本回合只改变折光条件，聚光仍按正常规则逐次消耗并触发重复。</t>
  </si>
  <si>
    <t>九转终点 / 无条件折光</t>
  </si>
  <si>
    <t>与0费、抽牌、回光组合时可能形成超长回合</t>
  </si>
  <si>
    <t>GU_HONGGUANG_R1</t>
  </si>
  <si>
    <t>光道奖励池</t>
  </si>
  <si>
    <t>红光蛊</t>
  </si>
  <si>
    <t>模组奖励蛊</t>
  </si>
  <si>
    <t>赤光×2</t>
  </si>
  <si>
    <t>两张赤光各获得1次【炽照】：折光伤害额外+1。</t>
  </si>
  <si>
    <t>长期攻击密度</t>
  </si>
  <si>
    <t>折光强化会被聚光重复</t>
  </si>
  <si>
    <t>GU_HONGGUANG_R2</t>
  </si>
  <si>
    <t>两张赤光各获得1次【炽照】：折光伤害额外+2。</t>
  </si>
  <si>
    <t>GU_HONGGUANG_R3</t>
  </si>
  <si>
    <t>两张赤光各获得1次【炽照】：折光伤害额外+3。</t>
  </si>
  <si>
    <t>GU_FANGUANG_R1</t>
  </si>
  <si>
    <t>反光蛊</t>
  </si>
  <si>
    <t>反光壁×2</t>
  </si>
  <si>
    <t>两张反光壁各获得1次【返照】：折光格挡额外+1。</t>
  </si>
  <si>
    <t>长期技能/防御密度</t>
  </si>
  <si>
    <t>GU_FANGUANG_R2</t>
  </si>
  <si>
    <t>两张反光壁各获得1次【返照】：折光格挡额外+2。</t>
  </si>
  <si>
    <t>GU_FANGUANG_R3</t>
  </si>
  <si>
    <t>两张反光壁各获得1次【返照】：折光格挡额外+3。</t>
  </si>
  <si>
    <t>GU_HUIGUANGBACK_R2</t>
  </si>
  <si>
    <t>回光蛊</t>
  </si>
  <si>
    <t>回照×1</t>
  </si>
  <si>
    <t>本场前1次：回收的攻击牌本回合费用-1</t>
  </si>
  <si>
    <t>攻击回收 / 攻技攻连段</t>
  </si>
  <si>
    <t>纯功能折光不受聚光影响，降低无限循环风险</t>
  </si>
  <si>
    <t>GU_HUIGUANGBACK_R3</t>
  </si>
  <si>
    <t>本场前2次：回收的攻击牌本回合费用-1</t>
  </si>
  <si>
    <t>GU_HUIGUANGBACK_R4</t>
  </si>
  <si>
    <t>本场前2次：回收的攻击牌本回合费用变为0</t>
  </si>
  <si>
    <t>GU_XUANGUANGXUAN_R4</t>
  </si>
  <si>
    <t>璇光蛊</t>
  </si>
  <si>
    <t>4–5</t>
  </si>
  <si>
    <t>璇光刃×1 + 璇光幕×1</t>
  </si>
  <si>
    <t>两张伴生各获得1次【璇照】：成功折光后额外获得1聚光。</t>
  </si>
  <si>
    <t>攻技混合 / 抽牌循环 / 少量聚光</t>
  </si>
  <si>
    <t>纯功能折光本身不重复，聚光用于后续数值折光</t>
  </si>
  <si>
    <t>GU_XUANGUANGXUAN_R5</t>
  </si>
  <si>
    <t>GU_MOONLIGHT_R1</t>
  </si>
  <si>
    <t>月系旁系</t>
  </si>
  <si>
    <t>月光蛊</t>
  </si>
  <si>
    <t>1</t>
  </si>
  <si>
    <t>原著</t>
  </si>
  <si>
    <t>月刃获得1层【月华】：每层使折光伤害+2；最多3层；本场最多触发3次。重复催动可加层但不恢复已耗触发次数。</t>
  </si>
  <si>
    <t>月系起点 / 单体攻击</t>
  </si>
  <si>
    <t>月华强化会被聚光重复，满层爆发需重点观察</t>
  </si>
  <si>
    <t>GU_JADESKIN_R1</t>
  </si>
  <si>
    <t>月系材料</t>
  </si>
  <si>
    <t>玉皮蛊</t>
  </si>
  <si>
    <t>获得2点格挡</t>
  </si>
  <si>
    <t>玉皮甲获得1层强化：每层格挡+3；最多3层；本场最多触发3次。重复催动可加层但不恢复已耗触发次数。</t>
  </si>
  <si>
    <t>月霓裳合练材料 / 通用防御</t>
  </si>
  <si>
    <t>非折光强化，不与聚光相乘</t>
  </si>
  <si>
    <t>GU_YUENICHANG_R2</t>
  </si>
  <si>
    <t>月霓裳蛊</t>
  </si>
  <si>
    <t>2</t>
  </si>
  <si>
    <t>月霓×2</t>
  </si>
  <si>
    <t>两张月霓各获得1次【霓护】：折光格挡额外+2。</t>
  </si>
  <si>
    <t>月系第一次质变 / 防御化</t>
  </si>
  <si>
    <t>聚光可把强化后的折光格挡重复一次</t>
  </si>
  <si>
    <t>GU_HAOYUE_R3</t>
  </si>
  <si>
    <t>皓月霓裳蛊</t>
  </si>
  <si>
    <t>模组原创中间节点</t>
  </si>
  <si>
    <t>皓月绶×1 + 皓月引×1</t>
  </si>
  <si>
    <t>两张伴生各获得1次【皓辉】：其数值型折光格挡额外+2。</t>
  </si>
  <si>
    <t>防御 + 为攻击接续折光</t>
  </si>
  <si>
    <t>皓月引的强制折光重复时不叠加</t>
  </si>
  <si>
    <t>GU_BAOYUENICHANG_R4</t>
  </si>
  <si>
    <t>宝月霓裳蛊</t>
  </si>
  <si>
    <t>宝月衣×1</t>
  </si>
  <si>
    <t>宝月衣获得2次【宝霓】：折光格挡额外+3。</t>
  </si>
  <si>
    <t>单张高质量防御 / 接续攻击</t>
  </si>
  <si>
    <t>聚光重复后单卡格挡非常高，需实测</t>
  </si>
  <si>
    <t>GU_BAOYUEWANG_R5</t>
  </si>
  <si>
    <t>宝月光王蛊</t>
  </si>
  <si>
    <t>宝月王衣×1 + 月王辉×1</t>
  </si>
  <si>
    <t>宝月王衣获得1次强化：折光格挡额外+4；月王辉获得1次强化：本次折光额外获得1聚光（总计2）。</t>
  </si>
  <si>
    <t>五转月系终点 / 六转并流接口</t>
  </si>
  <si>
    <t>宝月王衣可吃聚光，月王辉负责给下一次攻击准备重复机会</t>
  </si>
  <si>
    <t>CardID</t>
  </si>
  <si>
    <t>父蛊</t>
  </si>
  <si>
    <t>伴生牌</t>
  </si>
  <si>
    <t>类型</t>
  </si>
  <si>
    <t>能量</t>
  </si>
  <si>
    <t>基础伤害</t>
  </si>
  <si>
    <t>基础格挡</t>
  </si>
  <si>
    <t>折光伤害</t>
  </si>
  <si>
    <t>折光格挡</t>
  </si>
  <si>
    <t>折光功能</t>
  </si>
  <si>
    <t>催动后强化</t>
  </si>
  <si>
    <t>强化触发次数</t>
  </si>
  <si>
    <t>备注</t>
  </si>
  <si>
    <t>基础数值</t>
  </si>
  <si>
    <t>自然折光总数值</t>
  </si>
  <si>
    <t>聚光重复后总数值</t>
  </si>
  <si>
    <t>可消耗聚光</t>
  </si>
  <si>
    <t>C_HUIGUANGJIAN_R1</t>
  </si>
  <si>
    <t>辉光矢</t>
  </si>
  <si>
    <t>攻击</t>
  </si>
  <si>
    <t>辉映：每层折光伤害+1；R1催动给1层，R2给2层</t>
  </si>
  <si>
    <t>数值型折光，可消耗1聚光并重复整段折光</t>
  </si>
  <si>
    <t>C_HUIGUANGJIAN_R2</t>
  </si>
  <si>
    <t>C_XUANGUANGMU_R2</t>
  </si>
  <si>
    <t>炫光幕</t>
  </si>
  <si>
    <t>技能</t>
  </si>
  <si>
    <t>折光后：下一张攻击牌强制折光</t>
  </si>
  <si>
    <t>本场前2次折光额外格挡+2</t>
  </si>
  <si>
    <t>数值+功能混合折光；重复时强制折光不叠层</t>
  </si>
  <si>
    <t>C_XUANGUANGMU_R3</t>
  </si>
  <si>
    <t>本场前2次折光额外格挡+3</t>
  </si>
  <si>
    <t>C_XUANGUANGMU_R4</t>
  </si>
  <si>
    <t>本场前2次折光额外格挡+4</t>
  </si>
  <si>
    <t>C_HONGBU_R3</t>
  </si>
  <si>
    <t>虹步</t>
  </si>
  <si>
    <t>折光：抽1张牌</t>
  </si>
  <si>
    <t>虹行：折光后下一张有折光段的牌强制折光</t>
  </si>
  <si>
    <t>纯功能折光，不消耗聚光</t>
  </si>
  <si>
    <t>C_YINGUANG_R1</t>
  </si>
  <si>
    <t>引光</t>
  </si>
  <si>
    <t>折光：回复1元气</t>
  </si>
  <si>
    <t>本场前2次折光额外获得2格挡</t>
  </si>
  <si>
    <t>原始折光段为纯功能；催动增加的额外格挡视为强化附加值，不使该牌获得聚光重复资格</t>
  </si>
  <si>
    <t>C_YINGUANG_R2</t>
  </si>
  <si>
    <t>本场前2次折光额外获得3格挡</t>
  </si>
  <si>
    <t>C_YINGUANG_R3</t>
  </si>
  <si>
    <t>本场前2次折光额外获得4格挡</t>
  </si>
  <si>
    <t>C_JUGUANGJING_R4</t>
  </si>
  <si>
    <t>聚光镜</t>
  </si>
  <si>
    <t>折光：获得1聚光</t>
  </si>
  <si>
    <t>汇光：本场前2次折光额外获得1聚光（总计2）</t>
  </si>
  <si>
    <t>纯功能折光，不消耗聚光；是主要聚光生成器</t>
  </si>
  <si>
    <t>C_JIEGUANGSHU_R4</t>
  </si>
  <si>
    <t>借光束</t>
  </si>
  <si>
    <t>折光：若当前聚光为0，获得1聚光</t>
  </si>
  <si>
    <t>借辉：本场前2次折光改为无条件获得1聚光</t>
  </si>
  <si>
    <t>纯功能折光；用于补空而非大量囤积</t>
  </si>
  <si>
    <t>C_TAIGUANGGUAN_R5</t>
  </si>
  <si>
    <t>太光贯</t>
  </si>
  <si>
    <t>太照：本场1次；若本次折光因聚光重复，则第二次折光伤害额外+4</t>
  </si>
  <si>
    <t>自然折光总14；聚光重复通常20；太照触发时24</t>
  </si>
  <si>
    <t>C_HENGGUANGREN_R6</t>
  </si>
  <si>
    <t>恒光刃</t>
  </si>
  <si>
    <t>恒照：本场1次；若折光因聚光重复，结算后获得1聚光并使下一张有折光段的牌强制折光</t>
  </si>
  <si>
    <t>恒光负责把“重复机会”传给后续动作</t>
  </si>
  <si>
    <t>C_HENGGUANGZHANG_R6</t>
  </si>
  <si>
    <t>恒光障</t>
  </si>
  <si>
    <t>与恒光刃组成仙级连续折光动作组</t>
  </si>
  <si>
    <t>C_HENGGUANGREN_R7</t>
  </si>
  <si>
    <t>恒照：本场2次；若折光因聚光重复，结算后获得1聚光并使下一张有折光段的牌强制折光</t>
  </si>
  <si>
    <t>C_HENGGUANGZHANG_R7</t>
  </si>
  <si>
    <t>C_HENGGUANGREN_R8</t>
  </si>
  <si>
    <t>恒照：本场3次；若折光因聚光重复，结算后获得1聚光并使下一张有折光段的牌强制折光</t>
  </si>
  <si>
    <t>C_HENGGUANGZHANG_R8</t>
  </si>
  <si>
    <t>C_GUANGYAO_R9</t>
  </si>
  <si>
    <t>光耀</t>
  </si>
  <si>
    <t>若本次折光因聚光重复，重复结算后获得1聚光</t>
  </si>
  <si>
    <t>无额外伴生强化；光蛊催动直接使本回合折光条件自动满足</t>
  </si>
  <si>
    <t>聚光重复后返还1层，九转可维持高强度链</t>
  </si>
  <si>
    <t>C_GUANGJIE_R9</t>
  </si>
  <si>
    <t>光界</t>
  </si>
  <si>
    <t>若本次折光因聚光重复，重复结算后使下一张有折光段的牌强制折光</t>
  </si>
  <si>
    <t>九转防御侧接续牌</t>
  </si>
  <si>
    <t>C_CHIGUANG_R1</t>
  </si>
  <si>
    <t>赤光</t>
  </si>
  <si>
    <t>炽照：本场1次，折光伤害额外+1</t>
  </si>
  <si>
    <t>可被聚光重复，适合长期攻击密度</t>
  </si>
  <si>
    <t>C_CHIGUANG_R2</t>
  </si>
  <si>
    <t>炽照：本场1次，折光伤害额外+2</t>
  </si>
  <si>
    <t>C_CHIGUANG_R3</t>
  </si>
  <si>
    <t>炽照：本场1次，折光伤害额外+3</t>
  </si>
  <si>
    <t>C_FANGUANGBI_R1</t>
  </si>
  <si>
    <t>反光壁</t>
  </si>
  <si>
    <t>返照：本场1次，折光格挡额外+1</t>
  </si>
  <si>
    <t>可被聚光重复，适合长期防御密度</t>
  </si>
  <si>
    <t>C_FANGUANGBI_R2</t>
  </si>
  <si>
    <t>返照：本场1次，折光格挡额外+2</t>
  </si>
  <si>
    <t>C_FANGUANGBI_R3</t>
  </si>
  <si>
    <t>返照：本场1次，折光格挡额外+3</t>
  </si>
  <si>
    <t>C_HUIZHAO_R2</t>
  </si>
  <si>
    <t>回照</t>
  </si>
  <si>
    <t>折光：将本回合最近打出的一张攻击伴生牌从弃牌堆返回手牌</t>
  </si>
  <si>
    <t>本场前1次：返回牌费用-1</t>
  </si>
  <si>
    <t>C_HUIZHAO_R3</t>
  </si>
  <si>
    <t>本场前2次：返回牌费用-1</t>
  </si>
  <si>
    <t>C_HUIZHAO_R4</t>
  </si>
  <si>
    <t>本场前2次：返回牌费用变为0</t>
  </si>
  <si>
    <t>C_XUANGUANGREN_R4</t>
  </si>
  <si>
    <t>璇光刃</t>
  </si>
  <si>
    <t>璇照：本场1次，折光后额外获得1聚光</t>
  </si>
  <si>
    <t>纯功能折光；抽牌不被重复</t>
  </si>
  <si>
    <t>C_XUANGUANGMU2_R4</t>
  </si>
  <si>
    <t>璇光幕</t>
  </si>
  <si>
    <t>与璇光刃形成攻技自循环</t>
  </si>
  <si>
    <t>C_XUANGUANGREN_R5</t>
  </si>
  <si>
    <t>C_XUANGUANGMU2_R5</t>
  </si>
  <si>
    <t>C_YUEREN_R1</t>
  </si>
  <si>
    <t>月刃</t>
  </si>
  <si>
    <t>月华：每层折光伤害+2；最多3层；本场最多触发3次</t>
  </si>
  <si>
    <t>数值型折光；月华强化后的折光也会被聚光重复</t>
  </si>
  <si>
    <t>C_YUPIJIA_R1</t>
  </si>
  <si>
    <t>玉皮甲</t>
  </si>
  <si>
    <t>每层基础格挡+3；最多3层；本场最多触发3次</t>
  </si>
  <si>
    <t>无折光段，不消耗聚光</t>
  </si>
  <si>
    <t>C_YUENI_R2</t>
  </si>
  <si>
    <t>月霓</t>
  </si>
  <si>
    <t>霓护：本场1次，折光格挡额外+2</t>
  </si>
  <si>
    <t>数值型折光，可被聚光重复</t>
  </si>
  <si>
    <t>C_HAOYUESHOU_R3</t>
  </si>
  <si>
    <t>皓月绶</t>
  </si>
  <si>
    <t>皓辉：本场1次，折光格挡额外+2</t>
  </si>
  <si>
    <t>月系主防御动作</t>
  </si>
  <si>
    <t>C_HAOYUEYIN_R3</t>
  </si>
  <si>
    <t>皓月引</t>
  </si>
  <si>
    <t>数值+功能混合折光；重复时强制折光不叠加</t>
  </si>
  <si>
    <t>C_BAOYUEYI_R4</t>
  </si>
  <si>
    <t>宝月衣</t>
  </si>
  <si>
    <t>宝霓：本场前2次，折光格挡额外+3</t>
  </si>
  <si>
    <t>高质量数值折光，聚光重复后格挡显著提升</t>
  </si>
  <si>
    <t>C_BAOYUEWANGYI_R5</t>
  </si>
  <si>
    <t>宝月王衣</t>
  </si>
  <si>
    <t>本场1次：折光格挡额外+4</t>
  </si>
  <si>
    <t>五转数值防御核心，可消耗聚光重复</t>
  </si>
  <si>
    <t>C_YUEWANGHUI_R5</t>
  </si>
  <si>
    <t>折光：下一张攻击牌强制折光，并获得1聚光</t>
  </si>
  <si>
    <t>本场1次：额外获得1聚光（总计2）</t>
  </si>
  <si>
    <t>纯功能折光；负责给下一次攻击准备重复机会</t>
  </si>
  <si>
    <t>类别</t>
  </si>
  <si>
    <t>材料A</t>
  </si>
  <si>
    <t>A转</t>
  </si>
  <si>
    <t>材料B</t>
  </si>
  <si>
    <t>B转</t>
  </si>
  <si>
    <t>结果</t>
  </si>
  <si>
    <t>结果转</t>
  </si>
  <si>
    <t>公式结果</t>
  </si>
  <si>
    <t>校验</t>
  </si>
  <si>
    <t>来源说明</t>
  </si>
  <si>
    <t>设计目的</t>
  </si>
  <si>
    <t>升炼</t>
  </si>
  <si>
    <t>模组设计</t>
  </si>
  <si>
    <t>低阶量变</t>
  </si>
  <si>
    <t>合练</t>
  </si>
  <si>
    <t>攻击密度转为技能循环</t>
  </si>
  <si>
    <t>建立折光重复资源</t>
  </si>
  <si>
    <t>形成五转重复折光爆发终端</t>
  </si>
  <si>
    <t>原著关系骨架/卡牌效果模组化</t>
  </si>
  <si>
    <t>月刃+护体转为月霓防御</t>
  </si>
  <si>
    <t>模组补全</t>
  </si>
  <si>
    <t>强化反射与护持</t>
  </si>
  <si>
    <t>加入回光接续能力</t>
  </si>
  <si>
    <t>五转月系完全体</t>
  </si>
  <si>
    <t>六转并流</t>
  </si>
  <si>
    <t>当前定案</t>
  </si>
  <si>
    <t>爆发重复 + 月系护持 → 恒光</t>
  </si>
  <si>
    <t>仙级量变</t>
  </si>
  <si>
    <t>九转规则级终点</t>
  </si>
  <si>
    <t>共享机制</t>
  </si>
  <si>
    <t>机制</t>
  </si>
  <si>
    <t>当前规则</t>
  </si>
  <si>
    <t>折光</t>
  </si>
  <si>
    <t>当本次普通牌类型与上一张普通牌不同（攻击↔技能）时，触发该牌的“折光”段。</t>
  </si>
  <si>
    <t>核心连段条件</t>
  </si>
  <si>
    <t>强制折光</t>
  </si>
  <si>
    <t>下一张拥有折光段的牌无视类型条件触发折光；成功触发后消耗。</t>
  </si>
  <si>
    <t>修正牌序，不替代自然攻技交替</t>
  </si>
  <si>
    <t>聚光 X</t>
  </si>
  <si>
    <t>你拥有X次“折光重复机会”。当一张牌触发带伤害或格挡数值的折光时，若聚光&gt;0，则在折光开始时消耗1聚光；正常结算折光段后，将该折光段完整额外结算1次。一次折光事件最多消耗1聚光。</t>
  </si>
  <si>
    <t>由数值加成改为折光重复</t>
  </si>
  <si>
    <t>若折光段只有抽牌、回元气、获得聚光、强制折光、回收牌等功能而没有伤害/格挡数值，则不消耗聚光，也不会被聚光重复。</t>
  </si>
  <si>
    <t>防止功能循环被成倍复制</t>
  </si>
  <si>
    <t>折光重复</t>
  </si>
  <si>
    <t>重复的是折光段，不重复卡牌基础效果。若折光段同时含数值与功能文本，则整段重复；强制折光属于布尔状态，多次赋予不叠加。</t>
  </si>
  <si>
    <t>聚光的实际执行规则</t>
  </si>
  <si>
    <t>聚光判定时点</t>
  </si>
  <si>
    <t>在折光段开始前判断并消耗聚光。该折光段结算过程中获得的新聚光，只能用于之后的牌，不能反过来使本次折光重复。</t>
  </si>
  <si>
    <t>避免自生成自重复</t>
  </si>
  <si>
    <t>伴生换代</t>
  </si>
  <si>
    <t>来源蛊被合练消耗时，其全部伴生一并移除；结果蛊重新生成自己的伴生动作组。</t>
  </si>
  <si>
    <t>合练是动作换代</t>
  </si>
  <si>
    <t>强化次数</t>
  </si>
  <si>
    <t>强化层数与本场剩余触发次数分离；同场再次催动父蛊可加层，但不恢复已经消耗的触发次数。</t>
  </si>
  <si>
    <t>沿用伴生强化框架</t>
  </si>
  <si>
    <t>奖励规则</t>
  </si>
  <si>
    <t>卡牌奖励只直接获得蛊牌；普通动作主要通过蛊虫伴生产生。</t>
  </si>
  <si>
    <t>伴生数量与类型本身属于强度预算</t>
  </si>
  <si>
    <t>首轮数值基准</t>
  </si>
  <si>
    <t>暂定基准</t>
  </si>
  <si>
    <t>说明</t>
  </si>
  <si>
    <t>1费低阶攻击</t>
  </si>
  <si>
    <t>5–6基础伤害</t>
  </si>
  <si>
    <t>折光段通常再给2–3伤害</t>
  </si>
  <si>
    <t>1费低阶技能</t>
  </si>
  <si>
    <t>5–6基础格挡</t>
  </si>
  <si>
    <t>折光段通常再给2–3格挡</t>
  </si>
  <si>
    <t>聚光1层</t>
  </si>
  <si>
    <t>≈让下一次数值型折光再结算一次</t>
  </si>
  <si>
    <t>价值显著高于旧版“+1数值”，因此产量必须下降</t>
  </si>
  <si>
    <t>聚光生成</t>
  </si>
  <si>
    <t>常规一次获得1；核心聚光蛊催动后可到2</t>
  </si>
  <si>
    <t>避免一次性囤积大量重复机会</t>
  </si>
  <si>
    <t>默认不与聚光联动</t>
  </si>
  <si>
    <t>抽牌/回元气/回收牌不能成倍复制</t>
  </si>
  <si>
    <t>数值+功能混合折光</t>
  </si>
  <si>
    <t>可被完整重复，但功能部分应避免直接制造大量聚光</t>
  </si>
  <si>
    <t>例如“额外格挡+强制下一张折光”可接受</t>
  </si>
  <si>
    <t>五转爆发牌</t>
  </si>
  <si>
    <t>自然折光约13–15总值；聚光重复后约19–24总值</t>
  </si>
  <si>
    <t>需靠构筑和资源准备换爆发</t>
  </si>
  <si>
    <t>仙级连续折光</t>
  </si>
  <si>
    <t>通过有限次数的聚光返还与强制折光维持</t>
  </si>
  <si>
    <t>不允许无限返还</t>
  </si>
  <si>
    <t>伴生数量</t>
  </si>
  <si>
    <t>1张可高质量，2张需压低单张强度</t>
  </si>
  <si>
    <t>数量×费用×折光重复共同决定强度</t>
  </si>
  <si>
    <t>日期</t>
  </si>
  <si>
    <t>版本/构筑</t>
  </si>
  <si>
    <t>章节/敌人</t>
  </si>
  <si>
    <t>蛊虫/伴生牌</t>
  </si>
  <si>
    <t>当前聚光峰值</t>
  </si>
  <si>
    <t>重复折光次数/回合</t>
  </si>
  <si>
    <t>当前牌组</t>
  </si>
  <si>
    <t>观察项</t>
  </si>
  <si>
    <t>实测结果</t>
  </si>
  <si>
    <t>问题类型</t>
  </si>
  <si>
    <t>建议调整</t>
  </si>
  <si>
    <t>调整后数值</t>
  </si>
  <si>
    <t>复测结果</t>
  </si>
  <si>
    <t>GuZhenRenRebuild 光道与月系｜插图需求清单（卡牌卡图 / 状态图标 / 强化图标）</t>
  </si>
  <si>
    <t>生成 2026-09-17 ｜ 更新 2026-09-19（41 张 512×384 卡图入库；聚光状态图标改用旧模组图标） ｜ 条目来源：本工作簿「蛊虫设计」「伴生牌」 ｜ 类名与现状来源：dev 分支实际代码 + localization/zhs + GuZhenRenRubild/images 实际文件</t>
  </si>
  <si>
    <t>结论：蛊牌卡图 19/19、伴生牌卡图 22/22、聚光状态图标 1/1 均已就位（卡图 4:3 512×384；状态图标沿用旧模组 64×64 + 256×256）；仅剩 17 张可选强化图标未补。放图即生效，不需要改任何 .cs。</t>
  </si>
  <si>
    <t>约定：① 文件名必须与「类名 / 文件名」逐字符一致（区分大小写），扩展名小写 .png；② 已入库卡图为 4:3 的 512×384，换更大同名文件即可覆盖；③ 新图会被 export_presets.cfg（all_resources）自动打进 PCK；④ 卡图缺失时自动回退模板图，不会出现空白卡面。</t>
  </si>
  <si>
    <t>序号</t>
  </si>
  <si>
    <t>名称</t>
  </si>
  <si>
    <t>类名 / 文件名</t>
  </si>
  <si>
    <t>归属 / 来源</t>
  </si>
  <si>
    <t>图片路径（相对 GuZhenRenRubild/）</t>
  </si>
  <si>
    <t>建议尺寸</t>
  </si>
  <si>
    <t>现状</t>
  </si>
  <si>
    <t>优先级</t>
  </si>
  <si>
    <t>蛊牌卡图</t>
  </si>
  <si>
    <t>HuiGuangGu</t>
  </si>
  <si>
    <t>images/cards/HuiGuangGu.png</t>
  </si>
  <si>
    <t>4:3 卡图（已入库 512×384）</t>
  </si>
  <si>
    <t>已有</t>
  </si>
  <si>
    <t>—（已完成）</t>
  </si>
  <si>
    <t>1–2 转窗口｜Common｜模组原创｜低阶攻击密度 / 折光教学｜缺失时回退 Strike 打击模板图</t>
  </si>
  <si>
    <t>XuanGuangGu</t>
  </si>
  <si>
    <t>images/cards/XuanGuangGu.png</t>
  </si>
  <si>
    <t>2–4 转窗口｜Uncommon｜原著名/效果模组化｜技能侧折光修正 / 攻击接续｜缺失时回退 Defend 防御模板图</t>
  </si>
  <si>
    <t>GuangHongGu</t>
  </si>
  <si>
    <t>images/cards/GuangHongGu.png</t>
  </si>
  <si>
    <t>3 转窗口｜Uncommon｜原著名/效果模组化｜技能循环 / 延续折光｜缺失时回退 Defend 防御模板图</t>
  </si>
  <si>
    <t>GuangYuanGu</t>
  </si>
  <si>
    <t>images/cards/GuangYuanGu.png</t>
  </si>
  <si>
    <t>1–3 转窗口｜Common｜原著名/效果模组化｜折光回元气 / 技能动作｜缺失时回退 Defend 防御模板图</t>
  </si>
  <si>
    <t>JuGuangGu</t>
  </si>
  <si>
    <t>images/cards/JuGuangGu.png</t>
  </si>
  <si>
    <t>4 转窗口｜Rare｜原著名/效果模组化｜聚光核心 / 制造折光重复机会｜缺失时回退 Defend 防御模板图</t>
  </si>
  <si>
    <t>JieGuangGu</t>
  </si>
  <si>
    <t>images/cards/JieGuangGu.png</t>
  </si>
  <si>
    <t>4 转窗口｜Uncommon｜原著名/效果模组化｜攻击动作 / 聚光续接｜缺失时回退 Defend 防御模板图</t>
  </si>
  <si>
    <t>TaiGuangGu</t>
  </si>
  <si>
    <t>images/cards/TaiGuangGu.png</t>
  </si>
  <si>
    <t>5 转窗口｜Rare｜原著名/效果模组化｜五转聚光爆发终端 / 重复折光收益｜缺失时回退 Defend 防御模板图</t>
  </si>
  <si>
    <t>HengGuangXianGu</t>
  </si>
  <si>
    <t>images/cards/HengGuangXianGu.png</t>
  </si>
  <si>
    <t>6–8 转窗口｜仙蛊｜模组原创｜仙级连续折光 / 让重复向后传递｜缺失时回退 Strike 打击模板图</t>
  </si>
  <si>
    <t>GuangGu</t>
  </si>
  <si>
    <t>images/cards/GuangGu.png</t>
  </si>
  <si>
    <t>9 转窗口｜九转仙蛊｜原著名/效果模组化｜九转终点 / 无条件折光｜缺失时回退 Strike 打击模板图</t>
  </si>
  <si>
    <t>HongGuangGu</t>
  </si>
  <si>
    <t>images/cards/HongGuangGu.png</t>
  </si>
  <si>
    <t>1–3 转窗口｜Common｜模组奖励蛊｜长期攻击密度｜缺失时回退 Defend 防御模板图</t>
  </si>
  <si>
    <t>FanGuangGu</t>
  </si>
  <si>
    <t>images/cards/FanGuangGu.png</t>
  </si>
  <si>
    <t>1–3 转窗口｜Common｜原著名/效果模组化｜长期技能/防御密度｜缺失时回退 Defend 防御模板图</t>
  </si>
  <si>
    <t>HuiGuangBackGu</t>
  </si>
  <si>
    <t>images/cards/HuiGuangBackGu.png</t>
  </si>
  <si>
    <t>2–4 转窗口｜Uncommon｜原著名/效果模组化｜攻击回收 / 攻技攻连段｜缺失时回退 Defend 防御模板图</t>
  </si>
  <si>
    <t>XuanGuangXuanGu</t>
  </si>
  <si>
    <t>images/cards/XuanGuangXuanGu.png</t>
  </si>
  <si>
    <t>4–5 转窗口｜Uncommon｜原著名/效果模组化｜攻技混合 / 抽牌循环 / 少量聚光｜缺失时回退 Defend 防御模板图</t>
  </si>
  <si>
    <t>YueGuangGu</t>
  </si>
  <si>
    <t>images/cards/YueGuangGu.png</t>
  </si>
  <si>
    <t>1 转窗口｜Common｜原著｜月系起点 / 单体攻击｜缺失时回退 Strike 打击模板图</t>
  </si>
  <si>
    <t>YuPiGu</t>
  </si>
  <si>
    <t>images/cards/YuPiGu.png</t>
  </si>
  <si>
    <t>1 转窗口｜Common｜原著｜月霓裳合练材料 / 通用防御｜缺失时回退 Defend 防御模板图</t>
  </si>
  <si>
    <t>YueNiChangGu</t>
  </si>
  <si>
    <t>images/cards/YueNiChangGu.png</t>
  </si>
  <si>
    <t>2 转窗口｜Uncommon｜原著名/效果模组化｜月系第一次质变 / 防御化｜缺失时回退 Defend 防御模板图</t>
  </si>
  <si>
    <t>HaoYueNiChangGu</t>
  </si>
  <si>
    <t>images/cards/HaoYueNiChangGu.png</t>
  </si>
  <si>
    <t>3 转窗口｜Uncommon｜模组原创中间节点｜防御 + 为攻击接续折光｜缺失时回退 Defend 防御模板图</t>
  </si>
  <si>
    <t>BaoYueNiChangGu</t>
  </si>
  <si>
    <t>images/cards/BaoYueNiChangGu.png</t>
  </si>
  <si>
    <t>4 转窗口｜Rare｜模组原创中间节点｜单张高质量防御 / 接续攻击｜缺失时回退 Defend 防御模板图</t>
  </si>
  <si>
    <t>BaoYueGuangWangGu</t>
  </si>
  <si>
    <t>images/cards/BaoYueGuangWangGu.png</t>
  </si>
  <si>
    <t>5 转窗口｜Rare｜原著名/效果模组化｜五转月系终点 / 六转并流接口｜缺失时回退 Defend 防御模板图</t>
  </si>
  <si>
    <t>伴生牌卡图</t>
  </si>
  <si>
    <t>HuiGuangJian</t>
  </si>
  <si>
    <t>辉光蛊 的伴生</t>
  </si>
  <si>
    <t>images/cards/HuiGuangJian.png</t>
  </si>
  <si>
    <t>辉光蛊 的伴生 ×2｜数值型折光，可消耗1聚光并重复整段折光｜缺失时回退 Strike 打击模板图</t>
  </si>
  <si>
    <t>XuanGuangMu</t>
  </si>
  <si>
    <t>炫光蛊 的伴生</t>
  </si>
  <si>
    <t>images/cards/XuanGuangMu.png</t>
  </si>
  <si>
    <t>炫光蛊 的伴生 ×1｜数值+功能混合折光；重复时强制折光不叠层｜缺失时回退 Defend 防御模板图</t>
  </si>
  <si>
    <t>HongBu</t>
  </si>
  <si>
    <t>光虹蛊 的伴生</t>
  </si>
  <si>
    <t>images/cards/HongBu.png</t>
  </si>
  <si>
    <t>光虹蛊 的伴生 ×2｜纯功能折光，不消耗聚光｜缺失时回退 Defend 防御模板图</t>
  </si>
  <si>
    <t>YinGuang</t>
  </si>
  <si>
    <t>光源蛊 的伴生</t>
  </si>
  <si>
    <t>images/cards/YinGuang.png</t>
  </si>
  <si>
    <t>光源蛊 的伴生 ×1｜原始折光段为纯功能；催动增加的额外格挡视为强化附加值，不使该牌获得聚光重复资格｜缺失时回退 Defend 防御模板图</t>
  </si>
  <si>
    <t>JuGuangJing</t>
  </si>
  <si>
    <t>聚光蛊 的伴生</t>
  </si>
  <si>
    <t>images/cards/JuGuangJing.png</t>
  </si>
  <si>
    <t>聚光蛊 的伴生 ×1｜纯功能折光，不消耗聚光；是主要聚光生成器｜缺失时回退 Defend 防御模板图</t>
  </si>
  <si>
    <t>JieGuangShu</t>
  </si>
  <si>
    <t>借光蛊 的伴生</t>
  </si>
  <si>
    <t>images/cards/JieGuangShu.png</t>
  </si>
  <si>
    <t>借光蛊 的伴生 ×1｜纯功能折光；用于补空而非大量囤积｜缺失时回退 Strike 打击模板图</t>
  </si>
  <si>
    <t>TaiGuangGuan</t>
  </si>
  <si>
    <t>太光蛊 的伴生</t>
  </si>
  <si>
    <t>images/cards/TaiGuangGuan.png</t>
  </si>
  <si>
    <t>太光蛊 的伴生 ×1｜自然折光总14；聚光重复通常20；太照触发时24｜缺失时回退 Strike 打击模板图</t>
  </si>
  <si>
    <t>HengGuangRen</t>
  </si>
  <si>
    <t>恒光仙蛊 的伴生</t>
  </si>
  <si>
    <t>images/cards/HengGuangRen.png</t>
  </si>
  <si>
    <t>恒光仙蛊 的伴生 ×1｜恒光负责把“重复机会”传给后续动作｜缺失时回退 Strike 打击模板图</t>
  </si>
  <si>
    <t>HengGuangZhang</t>
  </si>
  <si>
    <t>images/cards/HengGuangZhang.png</t>
  </si>
  <si>
    <t>恒光仙蛊 的伴生 ×1｜与恒光刃组成仙级连续折光动作组｜缺失时回退 Defend 防御模板图</t>
  </si>
  <si>
    <t>GuangYao</t>
  </si>
  <si>
    <t>光蛊 的伴生</t>
  </si>
  <si>
    <t>images/cards/GuangYao.png</t>
  </si>
  <si>
    <t>光蛊 的伴生 ×1｜聚光重复后返还1层，九转可维持高强度链｜缺失时回退 Strike 打击模板图</t>
  </si>
  <si>
    <t>GuangJie</t>
  </si>
  <si>
    <t>images/cards/GuangJie.png</t>
  </si>
  <si>
    <t>光蛊 的伴生 ×1｜九转防御侧接续牌｜缺失时回退 Defend 防御模板图</t>
  </si>
  <si>
    <t>ChiGuang</t>
  </si>
  <si>
    <t>红光蛊 的伴生</t>
  </si>
  <si>
    <t>images/cards/ChiGuang.png</t>
  </si>
  <si>
    <t>红光蛊 的伴生 ×2｜可被聚光重复，适合长期攻击密度｜缺失时回退 Strike 打击模板图</t>
  </si>
  <si>
    <t>FanGuangBi</t>
  </si>
  <si>
    <t>反光蛊 的伴生</t>
  </si>
  <si>
    <t>images/cards/FanGuangBi.png</t>
  </si>
  <si>
    <t>反光蛊 的伴生 ×2｜可被聚光重复，适合长期防御密度｜缺失时回退 Defend 防御模板图</t>
  </si>
  <si>
    <t>HuiZhao</t>
  </si>
  <si>
    <t>回光蛊 的伴生</t>
  </si>
  <si>
    <t>images/cards/HuiZhao.png</t>
  </si>
  <si>
    <t>回光蛊 的伴生 ×1｜纯功能折光，不消耗聚光｜缺失时回退 Defend 防御模板图</t>
  </si>
  <si>
    <t>XuanGuangRen</t>
  </si>
  <si>
    <t>璇光蛊 的伴生</t>
  </si>
  <si>
    <t>images/cards/XuanGuangRen.png</t>
  </si>
  <si>
    <t>璇光蛊 的伴生 ×1｜纯功能折光；抽牌不被重复｜缺失时回退 Strike 打击模板图</t>
  </si>
  <si>
    <t>XuanGuangMu2</t>
  </si>
  <si>
    <t>images/cards/XuanGuangMu2.png</t>
  </si>
  <si>
    <t>璇光蛊 的伴生 ×1｜与璇光刃形成攻技自循环｜缺失时回退 Defend 防御模板图</t>
  </si>
  <si>
    <t>已下线·不需图</t>
  </si>
  <si>
    <t>YueGuangCompanion</t>
  </si>
  <si>
    <t>月光蛊 的伴生（已删除）</t>
  </si>
  <si>
    <t>images/cards/YueGuangCompanion.png（已废弃）</t>
  </si>
  <si>
    <t>已删除</t>
  </si>
  <si>
    <t>不需要</t>
  </si>
  <si>
    <t>2026-09-17 按用户要求把月刃随旧伴生体系一并删除：源文件、卡池注册、本地化键与专属强化「月华」全部移除，不再需要美术资源。</t>
  </si>
  <si>
    <t>YuPiCompanion</t>
  </si>
  <si>
    <t>玉皮蛊 的伴生（已删除）</t>
  </si>
  <si>
    <t>images/cards/YuPiCompanion.png（已废弃）</t>
  </si>
  <si>
    <t>2026-09-17 按用户要求把玉皮甲随旧伴生体系一并删除：源文件、卡池注册、本地化键与专属强化「玉皮甲强化」全部移除，不再需要美术资源。</t>
  </si>
  <si>
    <t>YueNi</t>
  </si>
  <si>
    <t>月霓裳蛊 的伴生</t>
  </si>
  <si>
    <t>images/cards/YueNi.png</t>
  </si>
  <si>
    <t>月霓裳蛊 的伴生 ×2｜数值型折光，可被聚光重复｜缺失时回退 Defend 防御模板图</t>
  </si>
  <si>
    <t>HaoYueShou</t>
  </si>
  <si>
    <t>皓月霓裳蛊 的伴生</t>
  </si>
  <si>
    <t>images/cards/HaoYueShou.png</t>
  </si>
  <si>
    <t>皓月霓裳蛊 的伴生 ×1｜月系主防御动作｜缺失时回退 Defend 防御模板图</t>
  </si>
  <si>
    <t>HaoYueYin</t>
  </si>
  <si>
    <t>images/cards/HaoYueYin.png</t>
  </si>
  <si>
    <t>皓月霓裳蛊 的伴生 ×1｜数值+功能混合折光；重复时强制折光不叠加｜缺失时回退 Defend 防御模板图</t>
  </si>
  <si>
    <t>BaoYueYi</t>
  </si>
  <si>
    <t>宝月霓裳蛊 的伴生</t>
  </si>
  <si>
    <t>images/cards/BaoYueYi.png</t>
  </si>
  <si>
    <t>宝月霓裳蛊 的伴生 ×1｜高质量数值折光，聚光重复后格挡显著提升｜缺失时回退 Defend 防御模板图</t>
  </si>
  <si>
    <t>BaoYueWangYi</t>
  </si>
  <si>
    <t>宝月光王蛊 的伴生</t>
  </si>
  <si>
    <t>images/cards/BaoYueWangYi.png</t>
  </si>
  <si>
    <t>宝月光王蛊 的伴生 ×1｜五转数值防御核心，可消耗聚光重复｜缺失时回退 Defend 防御模板图</t>
  </si>
  <si>
    <t>YueWangHui</t>
  </si>
  <si>
    <t>images/cards/YueWangHui.png</t>
  </si>
  <si>
    <t>宝月光王蛊 的伴生 ×1｜纯功能折光；负责给下一次攻击准备重复机会｜缺失时回退 Defend 防御模板图</t>
  </si>
  <si>
    <t>状态图标</t>
  </si>
  <si>
    <t>聚光</t>
  </si>
  <si>
    <t>JuGuangPower</t>
  </si>
  <si>
    <t>状态</t>
  </si>
  <si>
    <t>光道机制（折光重复次数）</t>
  </si>
  <si>
    <t>images/powers/JuGuangPower-64x64.png（状态栏）＋ JuGuangPower-256x256.png（悬浮大图）</t>
  </si>
  <si>
    <t>方图（64×64 状态栏 + 256×256 大图）</t>
  </si>
  <si>
    <t>沿用旧模组（STS2_GuZhenRen）的聚光图标，与旧模组 PowerAssetProfile 的拆分一致；回退链：-64x64/-256x256 → 单文件 JuGuangPower.png → images/ui/orb1/1.png。折光 ZheGuangPower 是隐藏状态，不需要图标。</t>
  </si>
  <si>
    <t>强化图标</t>
  </si>
  <si>
    <t>宝霓</t>
  </si>
  <si>
    <t>BaoNiEnhancement</t>
  </si>
  <si>
    <t>强化</t>
  </si>
  <si>
    <t>宝月霓裳蛊 → 宝月衣×1</t>
  </si>
  <si>
    <t>images/enchantments/BaoNiEnhancement.png</t>
  </si>
  <si>
    <t>方图（继承原版附魔图标尺寸）</t>
  </si>
  <si>
    <t>缺失</t>
  </si>
  <si>
    <t>可选（中）</t>
  </si>
  <si>
    <t>走 AbstractCompanionEnhancement.CustomIconPath 自动解析；缺失时用引擎默认附魔图标，不影响功能。</t>
  </si>
  <si>
    <t>宝月光王·衣</t>
  </si>
  <si>
    <t>BaoYueWangYiEnhancement</t>
  </si>
  <si>
    <t>宝月光王蛊 → 宝月王衣×1 + 月王辉×1</t>
  </si>
  <si>
    <t>images/enchantments/BaoYueWangYiEnhancement.png</t>
  </si>
  <si>
    <t>炽照</t>
  </si>
  <si>
    <t>ChiZhaoEnhancement</t>
  </si>
  <si>
    <t>红光蛊 → 赤光×2</t>
  </si>
  <si>
    <t>images/enchantments/ChiZhaoEnhancement.png</t>
  </si>
  <si>
    <t>返照</t>
  </si>
  <si>
    <t>FanZhaoEnhancement</t>
  </si>
  <si>
    <t>反光蛊 → 反光壁×2</t>
  </si>
  <si>
    <t>images/enchantments/FanZhaoEnhancement.png</t>
  </si>
  <si>
    <t>皓辉</t>
  </si>
  <si>
    <t>HaoHuiEnhancement</t>
  </si>
  <si>
    <t>皓月霓裳蛊 → 皓月绶×1 + 皓月引×1</t>
  </si>
  <si>
    <t>images/enchantments/HaoHuiEnhancement.png</t>
  </si>
  <si>
    <t>恒照</t>
  </si>
  <si>
    <t>HengZhaoEnhancement</t>
  </si>
  <si>
    <t>恒光仙蛊 → 恒光刃×1 + 恒光障×1</t>
  </si>
  <si>
    <t>images/enchantments/HengZhaoEnhancement.png</t>
  </si>
  <si>
    <t>虹行</t>
  </si>
  <si>
    <t>HongXingEnhancement</t>
  </si>
  <si>
    <t>光虹蛊 → 虹步×2</t>
  </si>
  <si>
    <t>images/enchantments/HongXingEnhancement.png</t>
  </si>
  <si>
    <t>汇光</t>
  </si>
  <si>
    <t>HuiGuangEnhancement</t>
  </si>
  <si>
    <t>聚光蛊 → 聚光镜×1</t>
  </si>
  <si>
    <t>images/enchantments/HuiGuangEnhancement.png</t>
  </si>
  <si>
    <t>辉映</t>
  </si>
  <si>
    <t>HuiYingEnhancement</t>
  </si>
  <si>
    <t>辉光蛊 → 辉光矢×2</t>
  </si>
  <si>
    <t>images/enchantments/HuiYingEnhancement.png</t>
  </si>
  <si>
    <t>回照强化</t>
  </si>
  <si>
    <t>HuiZhaoEnhancement</t>
  </si>
  <si>
    <t>回光蛊 → 回照×1</t>
  </si>
  <si>
    <t>images/enchantments/HuiZhaoEnhancement.png</t>
  </si>
  <si>
    <t>借辉</t>
  </si>
  <si>
    <t>JieHuiEnhancement</t>
  </si>
  <si>
    <t>借光蛊 → 借光束×1</t>
  </si>
  <si>
    <t>images/enchantments/JieHuiEnhancement.png</t>
  </si>
  <si>
    <t>霓护</t>
  </si>
  <si>
    <t>NiHuEnhancement</t>
  </si>
  <si>
    <t>月霓裳蛊 → 月霓×2</t>
  </si>
  <si>
    <t>images/enchantments/NiHuEnhancement.png</t>
  </si>
  <si>
    <t>太照</t>
  </si>
  <si>
    <t>TaiZhaoEnhancement</t>
  </si>
  <si>
    <t>太光蛊 → 太光贯×1</t>
  </si>
  <si>
    <t>images/enchantments/TaiZhaoEnhancement.png</t>
  </si>
  <si>
    <t>炫光幕强化</t>
  </si>
  <si>
    <t>XuanGuangMuEnhancement</t>
  </si>
  <si>
    <t>炫光蛊 → 炫光幕×1</t>
  </si>
  <si>
    <t>images/enchantments/XuanGuangMuEnhancement.png</t>
  </si>
  <si>
    <t>璇照</t>
  </si>
  <si>
    <t>XuanZhaoEnhancement</t>
  </si>
  <si>
    <t>璇光蛊 → 璇光刃×1 + 璇光幕×1</t>
  </si>
  <si>
    <t>images/enchantments/XuanZhaoEnhancement.png</t>
  </si>
  <si>
    <t>引光强化</t>
  </si>
  <si>
    <t>YinGuangEnhancement</t>
  </si>
  <si>
    <t>光源蛊 → 引光×1</t>
  </si>
  <si>
    <t>images/enchantments/YinGuangEnhancement.png</t>
  </si>
  <si>
    <t>月王辉强化</t>
  </si>
  <si>
    <t>YueWangHuiEnhancement</t>
  </si>
  <si>
    <t>images/enchantments/YueWangHuiEnhancement.png</t>
  </si>
  <si>
    <t>汇总</t>
  </si>
  <si>
    <t>需要插图</t>
  </si>
  <si>
    <t>状态图标（聚光）</t>
  </si>
  <si>
    <t>必补合计</t>
  </si>
  <si>
    <t>强化图标（可选）</t>
  </si>
  <si>
    <t>含可选合计</t>
  </si>
  <si>
    <t>补充说明</t>
  </si>
  <si>
    <t>1. 2026-09-19 先按用户要求删除 2026-09-17 首批入库的 19 张卡图（连带 .import 侧车与 .godot/imported 导入缓存），随后用新一批 41 张 512×384 卡图整体重新入库：来源 E:\Users\LU\Downloads\oneimage-resized，文件按「&lt;类名&gt;-512x384.png」命名，入库时按 localization/zhs/cards.json 反查类名并去掉尺寸后缀，落盘为 GuZhenRenRubild/images/cards/&lt;类名&gt;.png（41 张合计 15.4 MB）。旧卡图仍保存在 git 修订 e81c9da，可用 git checkout e81c9da -- GuZhenRenRubild/images/cards/ 取回；本次入库未提交前也可用 git checkout -- 同一路径撤销。</t>
  </si>
  <si>
    <t>2. 命名易混点：炫光蛊 = XuanGuangGu，璇光蛊 = XuanGuangXuanGu；炫光幕 = XuanGuangMu，璇光幕 = XuanGuangMu2。文件放入前请用 localization/zhs/cards.json 的 title 逐条比对，勿按拼音猜。</t>
  </si>
  <si>
    <t>3. 已删除、不需要插图的旧条目：月刃 YueGuangCompanion、玉皮甲 YuPiCompanion（伴生牌），月华 / 玉皮甲强化（强化），以及更早删除的铁甲蛊 TieJiaGu、血煞蛊 XueShaGu、月影蛊、玄铁蛊。</t>
  </si>
  <si>
    <t>4. 已就位、无需处理的资源（本次未删除）：Strike / Defend 模板卡图 2、仙元 4、杀招推演 1、遗物 9、人物立绘与选人 / 地图资源、元气转盘 orb1 13、篝火与蛊方图鉴 UI。</t>
  </si>
  <si>
    <t>5. 缺失时的回退行为：ModAssetPathResolver.ResolveCardPortrait 在专属卡图缺失时自动改用 Strike / Defend 模板图，聚光状态图标缺失时借用 orb1/1.png，因此重绘期间卡面与状态栏都不会空白。</t>
  </si>
  <si>
    <t>6. 补图后的验证：放 PNG → 重新导出 PCK（--export-pack）→ 在 PCK 内检索 images/cards/&lt;类名&gt;.png 确认收录 → 进游戏核对卡牌奖励 / 蛊方大全 / 战斗卡面。</t>
  </si>
  <si>
    <t>7. 完整缺失清单、逐条路径与验证命令见 Docs/光道设计/光道卡图缺失清单.md；本工作表是该文档在工作簿内的对应视图，随代码与资源现状刷新。</t>
  </si>
  <si>
    <t>8. 聚光状态图标已改用旧模组（STS2_GuZhenRen / GuZhenRenPersonal）的现成图标：res://GuZhenRenPersonal/images/power/JuGuangPower-64x64.png 与 JuGuangPower-256x256.png，分别落盘为 GuZhenRenRubild/images/powers/JuGuangPower-64x64.png（状态栏小图）与 JuGuangPower-256x256.png（悬浮提示大图），JuGuangPower.cs 按旧模组的方式把两者分别给 IconPath / BigIconPath；缺失时回退单文件 JuGuangPower.png，再回退 images/ui/orb1/1.png。旧模组另有一张 JuGuangPreservationPower（聚光保持）图标，与新版「聚光」机制无关，未采用。</t>
  </si>
  <si>
    <r>
      <rPr>
        <sz val="11"/>
        <rFont val="微软雅黑"/>
        <family val="2"/>
        <charset val="134"/>
      </rPr>
      <t>月刃</t>
    </r>
    <r>
      <rPr>
        <sz val="11"/>
        <rFont val="Carlito"/>
        <family val="2"/>
        <charset val="134"/>
      </rPr>
      <t>×3</t>
    </r>
    <phoneticPr fontId="13" type="noConversion"/>
  </si>
  <si>
    <r>
      <rPr>
        <sz val="11"/>
        <rFont val="微软雅黑"/>
        <family val="2"/>
        <charset val="134"/>
      </rPr>
      <t>玉皮甲</t>
    </r>
    <r>
      <rPr>
        <sz val="11"/>
        <rFont val="Carlito"/>
        <family val="2"/>
        <charset val="134"/>
      </rPr>
      <t>×3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</si>
</sst>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Carlito"/>
    </font>
    <font>
      <b/>
      <sz val="16"/>
      <color rgb="FFFFFFFF"/>
      <name val="Carlito"/>
    </font>
    <font>
      <i/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onsolas"/>
      <family val="3"/>
    </font>
    <font>
      <b/>
      <sz val="11"/>
      <color rgb="FFC00000"/>
      <name val="Carlito"/>
    </font>
    <font>
      <b/>
      <sz val="12"/>
      <name val="Carlito"/>
    </font>
    <font>
      <b/>
      <sz val="11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sz val="11"/>
      <name val="Carlito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3F8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12" fillId="0" borderId="1"/>
  </cellStyleXfs>
  <cellXfs count="35">
    <xf numFmtId="0" fontId="0" fillId="0" borderId="0" xfId="0" applyBorder="1"/>
    <xf numFmtId="0" fontId="3" fillId="4" borderId="2" xfId="1" applyFont="1" applyFill="1" applyBorder="1" applyAlignment="1">
      <alignment horizontal="center" vertical="center" wrapText="1"/>
    </xf>
    <xf numFmtId="0" fontId="3" fillId="4" borderId="3" xfId="1" applyFont="1" applyFill="1" applyBorder="1" applyAlignment="1">
      <alignment horizontal="center" vertical="center" wrapText="1"/>
    </xf>
    <xf numFmtId="0" fontId="0" fillId="0" borderId="0" xfId="1" applyFont="1" applyBorder="1" applyAlignment="1">
      <alignment vertical="top" wrapText="1"/>
    </xf>
    <xf numFmtId="0" fontId="0" fillId="0" borderId="4" xfId="1" applyFont="1" applyBorder="1" applyAlignment="1">
      <alignment vertical="top" wrapText="1"/>
    </xf>
    <xf numFmtId="0" fontId="0" fillId="0" borderId="5" xfId="1" applyFont="1" applyBorder="1" applyAlignment="1">
      <alignment vertical="top" wrapText="1"/>
    </xf>
    <xf numFmtId="0" fontId="0" fillId="0" borderId="6" xfId="1" applyFont="1" applyBorder="1" applyAlignment="1">
      <alignment vertical="top" wrapText="1"/>
    </xf>
    <xf numFmtId="0" fontId="0" fillId="0" borderId="7" xfId="1" applyFont="1" applyBorder="1" applyAlignment="1">
      <alignment vertical="top" wrapText="1"/>
    </xf>
    <xf numFmtId="0" fontId="0" fillId="0" borderId="8" xfId="1" applyFont="1" applyBorder="1" applyAlignment="1">
      <alignment vertical="top" wrapText="1"/>
    </xf>
    <xf numFmtId="0" fontId="0" fillId="0" borderId="9" xfId="1" applyFont="1" applyBorder="1" applyAlignment="1">
      <alignment vertical="top" wrapText="1"/>
    </xf>
    <xf numFmtId="0" fontId="3" fillId="4" borderId="12" xfId="1" applyFont="1" applyFill="1" applyBorder="1" applyAlignment="1">
      <alignment horizontal="center" vertical="center" wrapText="1"/>
    </xf>
    <xf numFmtId="0" fontId="0" fillId="0" borderId="10" xfId="1" applyFont="1" applyBorder="1" applyAlignment="1">
      <alignment vertical="top" wrapText="1"/>
    </xf>
    <xf numFmtId="0" fontId="0" fillId="0" borderId="11" xfId="1" applyFont="1" applyBorder="1" applyAlignment="1">
      <alignment vertical="top" wrapText="1"/>
    </xf>
    <xf numFmtId="0" fontId="7" fillId="4" borderId="0" xfId="1" applyFont="1" applyFill="1" applyBorder="1" applyAlignment="1">
      <alignment horizontal="center" vertical="center" wrapText="1"/>
    </xf>
    <xf numFmtId="0" fontId="0" fillId="0" borderId="0" xfId="1" applyFont="1" applyBorder="1" applyAlignment="1">
      <alignment horizontal="center" vertical="top" wrapText="1"/>
    </xf>
    <xf numFmtId="0" fontId="6" fillId="0" borderId="0" xfId="1" applyFont="1" applyBorder="1" applyAlignment="1">
      <alignment vertical="top" wrapText="1"/>
    </xf>
    <xf numFmtId="0" fontId="8" fillId="0" borderId="0" xfId="1" applyFont="1" applyBorder="1" applyAlignment="1">
      <alignment vertical="top" wrapText="1"/>
    </xf>
    <xf numFmtId="0" fontId="9" fillId="0" borderId="0" xfId="1" applyFont="1" applyBorder="1" applyAlignment="1">
      <alignment horizontal="center" vertical="top" wrapText="1"/>
    </xf>
    <xf numFmtId="0" fontId="10" fillId="0" borderId="0" xfId="1" applyFont="1" applyBorder="1"/>
    <xf numFmtId="0" fontId="11" fillId="0" borderId="0" xfId="1" applyFont="1" applyBorder="1" applyAlignment="1">
      <alignment vertical="top" wrapText="1"/>
    </xf>
    <xf numFmtId="0" fontId="11" fillId="0" borderId="0" xfId="1" applyFont="1" applyBorder="1" applyAlignment="1">
      <alignment horizontal="center" vertical="top" wrapText="1"/>
    </xf>
    <xf numFmtId="0" fontId="0" fillId="0" borderId="13" xfId="1" applyFont="1" applyBorder="1" applyAlignment="1">
      <alignment wrapText="1"/>
    </xf>
    <xf numFmtId="0" fontId="0" fillId="0" borderId="0" xfId="0" applyBorder="1"/>
    <xf numFmtId="0" fontId="0" fillId="0" borderId="13" xfId="1" applyFont="1" applyBorder="1" applyAlignment="1">
      <alignment vertical="center" wrapText="1"/>
    </xf>
    <xf numFmtId="0" fontId="2" fillId="3" borderId="1" xfId="1" applyFont="1" applyFill="1" applyAlignment="1">
      <alignment horizontal="center"/>
    </xf>
    <xf numFmtId="0" fontId="0" fillId="0" borderId="1" xfId="1" applyFont="1"/>
    <xf numFmtId="0" fontId="3" fillId="5" borderId="1" xfId="1" applyFont="1" applyFill="1" applyAlignment="1">
      <alignment horizontal="center"/>
    </xf>
    <xf numFmtId="0" fontId="1" fillId="2" borderId="1" xfId="1" applyFont="1" applyFill="1" applyAlignment="1">
      <alignment horizontal="center" vertical="center"/>
    </xf>
    <xf numFmtId="0" fontId="4" fillId="2" borderId="1" xfId="1" applyFont="1" applyFill="1" applyAlignment="1">
      <alignment horizontal="center"/>
    </xf>
    <xf numFmtId="0" fontId="0" fillId="0" borderId="1" xfId="1" applyFont="1" applyAlignment="1">
      <alignment vertical="top" wrapText="1"/>
    </xf>
    <xf numFmtId="0" fontId="0" fillId="0" borderId="1" xfId="1" applyFont="1" applyAlignment="1">
      <alignment horizontal="left" vertical="center" wrapText="1"/>
    </xf>
    <xf numFmtId="0" fontId="6" fillId="3" borderId="1" xfId="1" applyFont="1" applyFill="1" applyAlignment="1">
      <alignment horizontal="center" vertical="center" wrapText="1"/>
    </xf>
    <xf numFmtId="0" fontId="0" fillId="3" borderId="1" xfId="1" applyFont="1" applyFill="1" applyAlignment="1">
      <alignment horizontal="center" vertical="center" wrapText="1"/>
    </xf>
    <xf numFmtId="0" fontId="5" fillId="2" borderId="1" xfId="1" applyFont="1" applyFill="1" applyAlignment="1">
      <alignment horizontal="center" vertical="center"/>
    </xf>
    <xf numFmtId="0" fontId="15" fillId="0" borderId="0" xfId="1" applyFont="1" applyBorder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8">
    <dxf>
      <fill>
        <patternFill patternType="solid">
          <bgColor rgb="FFD9EAD3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  <dxf>
      <fill>
        <patternFill patternType="solid">
          <bgColor rgb="FFE8F0FE"/>
        </patternFill>
      </fill>
    </dxf>
    <dxf>
      <fill>
        <patternFill patternType="solid">
          <bgColor rgb="FFFCE8E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uDesignRepeatTable" displayName="GuDesignRepeatTable" ref="A1:R34" totalsRowShown="0">
  <tableColumns count="18">
    <tableColumn id="1" xr3:uid="{00000000-0010-0000-0000-000001000000}" name="DesignID"/>
    <tableColumn id="2" xr3:uid="{00000000-0010-0000-0000-000002000000}" name="路线"/>
    <tableColumn id="3" xr3:uid="{00000000-0010-0000-0000-000003000000}" name="蛊虫"/>
    <tableColumn id="4" xr3:uid="{00000000-0010-0000-0000-000004000000}" name="转数"/>
    <tableColumn id="5" xr3:uid="{00000000-0010-0000-0000-000005000000}" name="窗口"/>
    <tableColumn id="6" xr3:uid="{00000000-0010-0000-0000-000006000000}" name="稀有度"/>
    <tableColumn id="7" xr3:uid="{00000000-0010-0000-0000-000007000000}" name="来源"/>
    <tableColumn id="8" xr3:uid="{00000000-0010-0000-0000-000008000000}" name="催动形态"/>
    <tableColumn id="9" xr3:uid="{00000000-0010-0000-0000-000009000000}" name="元气"/>
    <tableColumn id="10" xr3:uid="{00000000-0010-0000-0000-00000A000000}" name="冷却"/>
    <tableColumn id="11" xr3:uid="{00000000-0010-0000-0000-00000B000000}" name="仙元"/>
    <tableColumn id="12" xr3:uid="{00000000-0010-0000-0000-00000C000000}" name="直接催动"/>
    <tableColumn id="13" xr3:uid="{00000000-0010-0000-0000-00000D000000}" name="伴生结构"/>
    <tableColumn id="14" xr3:uid="{00000000-0010-0000-0000-00000E000000}" name="催动增幅"/>
    <tableColumn id="15" xr3:uid="{00000000-0010-0000-0000-00000F000000}" name="定位"/>
    <tableColumn id="16" xr3:uid="{00000000-0010-0000-0000-000010000000}" name="数值风险"/>
    <tableColumn id="17" xr3:uid="{00000000-0010-0000-0000-000011000000}" name="实测状态"/>
    <tableColumn id="18" xr3:uid="{00000000-0010-0000-0000-000012000000}" name="调整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anionRepeatTable" displayName="CompanionRepeatTable" ref="A1:T42" totalsRowShown="0">
  <tableColumns count="20">
    <tableColumn id="1" xr3:uid="{00000000-0010-0000-0100-000001000000}" name="CardID"/>
    <tableColumn id="2" xr3:uid="{00000000-0010-0000-0100-000002000000}" name="路线"/>
    <tableColumn id="3" xr3:uid="{00000000-0010-0000-0100-000003000000}" name="父蛊"/>
    <tableColumn id="4" xr3:uid="{00000000-0010-0000-0100-000004000000}" name="转数"/>
    <tableColumn id="5" xr3:uid="{00000000-0010-0000-0100-000005000000}" name="伴生牌"/>
    <tableColumn id="6" xr3:uid="{00000000-0010-0000-0100-000006000000}" name="类型"/>
    <tableColumn id="7" xr3:uid="{00000000-0010-0000-0100-000007000000}" name="数量"/>
    <tableColumn id="8" xr3:uid="{00000000-0010-0000-0100-000008000000}" name="能量"/>
    <tableColumn id="9" xr3:uid="{00000000-0010-0000-0100-000009000000}" name="基础伤害"/>
    <tableColumn id="10" xr3:uid="{00000000-0010-0000-0100-00000A000000}" name="基础格挡"/>
    <tableColumn id="11" xr3:uid="{00000000-0010-0000-0100-00000B000000}" name="折光伤害"/>
    <tableColumn id="12" xr3:uid="{00000000-0010-0000-0100-00000C000000}" name="折光格挡"/>
    <tableColumn id="13" xr3:uid="{00000000-0010-0000-0100-00000D000000}" name="折光功能"/>
    <tableColumn id="14" xr3:uid="{00000000-0010-0000-0100-00000E000000}" name="催动后强化"/>
    <tableColumn id="15" xr3:uid="{00000000-0010-0000-0100-00000F000000}" name="强化触发次数"/>
    <tableColumn id="16" xr3:uid="{00000000-0010-0000-0100-000010000000}" name="备注"/>
    <tableColumn id="17" xr3:uid="{00000000-0010-0000-0100-000011000000}" name="基础数值"/>
    <tableColumn id="18" xr3:uid="{00000000-0010-0000-0100-000012000000}" name="自然折光总数值"/>
    <tableColumn id="19" xr3:uid="{00000000-0010-0000-0100-000013000000}" name="聚光重复后总数值"/>
    <tableColumn id="20" xr3:uid="{00000000-0010-0000-0100-000014000000}" name="可消耗聚光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ineRepeatTable" displayName="RefineRepeatTable" ref="A1:L13" totalsRowShown="0">
  <tableColumns count="12">
    <tableColumn id="1" xr3:uid="{00000000-0010-0000-0200-000001000000}" name="路线"/>
    <tableColumn id="2" xr3:uid="{00000000-0010-0000-0200-000002000000}" name="类别"/>
    <tableColumn id="3" xr3:uid="{00000000-0010-0000-0200-000003000000}" name="材料A"/>
    <tableColumn id="4" xr3:uid="{00000000-0010-0000-0200-000004000000}" name="A转"/>
    <tableColumn id="5" xr3:uid="{00000000-0010-0000-0200-000005000000}" name="材料B"/>
    <tableColumn id="6" xr3:uid="{00000000-0010-0000-0200-000006000000}" name="B转"/>
    <tableColumn id="7" xr3:uid="{00000000-0010-0000-0200-000007000000}" name="结果"/>
    <tableColumn id="8" xr3:uid="{00000000-0010-0000-0200-000008000000}" name="结果转"/>
    <tableColumn id="9" xr3:uid="{00000000-0010-0000-0200-000009000000}" name="公式结果"/>
    <tableColumn id="10" xr3:uid="{00000000-0010-0000-0200-00000A000000}" name="校验"/>
    <tableColumn id="11" xr3:uid="{00000000-0010-0000-0200-00000B000000}" name="来源说明"/>
    <tableColumn id="12" xr3:uid="{00000000-0010-0000-0200-00000C000000}" name="设计目的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laytestRepeatTable" displayName="PlaytestRepeatTable" ref="A1:N31" totalsRowShown="0">
  <tableColumns count="14">
    <tableColumn id="1" xr3:uid="{00000000-0010-0000-0300-000001000000}" name="日期"/>
    <tableColumn id="2" xr3:uid="{00000000-0010-0000-0300-000002000000}" name="版本/构筑"/>
    <tableColumn id="3" xr3:uid="{00000000-0010-0000-0300-000003000000}" name="章节/敌人"/>
    <tableColumn id="4" xr3:uid="{00000000-0010-0000-0300-000004000000}" name="蛊虫/伴生牌"/>
    <tableColumn id="5" xr3:uid="{00000000-0010-0000-0300-000005000000}" name="转数"/>
    <tableColumn id="6" xr3:uid="{00000000-0010-0000-0300-000006000000}" name="当前聚光峰值"/>
    <tableColumn id="7" xr3:uid="{00000000-0010-0000-0300-000007000000}" name="重复折光次数/回合"/>
    <tableColumn id="8" xr3:uid="{00000000-0010-0000-0300-000008000000}" name="当前牌组"/>
    <tableColumn id="9" xr3:uid="{00000000-0010-0000-0300-000009000000}" name="观察项"/>
    <tableColumn id="10" xr3:uid="{00000000-0010-0000-0300-00000A000000}" name="实测结果"/>
    <tableColumn id="11" xr3:uid="{00000000-0010-0000-0300-00000B000000}" name="问题类型"/>
    <tableColumn id="12" xr3:uid="{00000000-0010-0000-0300-00000C000000}" name="建议调整"/>
    <tableColumn id="13" xr3:uid="{00000000-0010-0000-0300-00000D000000}" name="调整后数值"/>
    <tableColumn id="14" xr3:uid="{00000000-0010-0000-0300-00000E000000}" name="复测结果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llustrationNeedsTable" displayName="IllustrationNeedsTable" ref="A5:K66">
  <autoFilter ref="A5:K66" xr:uid="{00000000-0009-0000-0100-000005000000}"/>
  <tableColumns count="11">
    <tableColumn id="1" xr3:uid="{00000000-0010-0000-0400-000001000000}" name="序号"/>
    <tableColumn id="2" xr3:uid="{00000000-0010-0000-0400-000002000000}" name="类别"/>
    <tableColumn id="3" xr3:uid="{00000000-0010-0000-0400-000003000000}" name="名称"/>
    <tableColumn id="4" xr3:uid="{00000000-0010-0000-0400-000004000000}" name="类名 / 文件名"/>
    <tableColumn id="5" xr3:uid="{00000000-0010-0000-0400-000005000000}" name="类型"/>
    <tableColumn id="6" xr3:uid="{00000000-0010-0000-0400-000006000000}" name="归属 / 来源"/>
    <tableColumn id="7" xr3:uid="{00000000-0010-0000-0400-000007000000}" name="图片路径（相对 GuZhenRenRubild/）"/>
    <tableColumn id="8" xr3:uid="{00000000-0010-0000-0400-000008000000}" name="建议尺寸"/>
    <tableColumn id="9" xr3:uid="{00000000-0010-0000-0400-000009000000}" name="现状"/>
    <tableColumn id="10" xr3:uid="{00000000-0010-0000-0400-00000A000000}" name="优先级"/>
    <tableColumn id="11" xr3:uid="{00000000-0010-0000-0400-00000B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workbookViewId="0">
      <selection sqref="A1:H1"/>
    </sheetView>
  </sheetViews>
  <sheetFormatPr defaultRowHeight="14.25"/>
  <cols>
    <col min="1" max="8" width="19" customWidth="1"/>
  </cols>
  <sheetData>
    <row r="1" spans="1:8" ht="27.95" customHeight="1">
      <c r="A1" s="27" t="s">
        <v>0</v>
      </c>
      <c r="B1" s="25"/>
      <c r="C1" s="25"/>
      <c r="D1" s="25"/>
      <c r="E1" s="25"/>
      <c r="F1" s="25"/>
      <c r="G1" s="25"/>
      <c r="H1" s="25"/>
    </row>
    <row r="2" spans="1:8">
      <c r="A2" s="24" t="s">
        <v>1</v>
      </c>
      <c r="B2" s="25"/>
      <c r="C2" s="25"/>
      <c r="D2" s="25"/>
      <c r="E2" s="25"/>
      <c r="F2" s="25"/>
      <c r="G2" s="25"/>
      <c r="H2" s="25"/>
    </row>
    <row r="4" spans="1:8" ht="15">
      <c r="A4" s="1" t="s">
        <v>2</v>
      </c>
      <c r="B4" s="2" t="s">
        <v>3</v>
      </c>
      <c r="D4" s="26" t="s">
        <v>4</v>
      </c>
      <c r="E4" s="25"/>
      <c r="F4" s="25"/>
      <c r="G4" s="25"/>
      <c r="H4" s="25"/>
    </row>
    <row r="5" spans="1:8">
      <c r="A5" s="4" t="s">
        <v>5</v>
      </c>
      <c r="B5" s="5">
        <v>19</v>
      </c>
      <c r="D5" s="23" t="s">
        <v>6</v>
      </c>
      <c r="E5" s="22"/>
      <c r="F5" s="22"/>
      <c r="G5" s="22"/>
      <c r="H5" s="22"/>
    </row>
    <row r="6" spans="1:8">
      <c r="A6" s="6" t="s">
        <v>7</v>
      </c>
      <c r="B6" s="7">
        <v>33</v>
      </c>
      <c r="D6" s="22"/>
      <c r="E6" s="22"/>
      <c r="F6" s="22"/>
      <c r="G6" s="22"/>
      <c r="H6" s="22"/>
    </row>
    <row r="7" spans="1:8">
      <c r="A7" s="6" t="s">
        <v>8</v>
      </c>
      <c r="B7" s="7">
        <v>41</v>
      </c>
      <c r="D7" s="22"/>
      <c r="E7" s="22"/>
      <c r="F7" s="22"/>
      <c r="G7" s="22"/>
      <c r="H7" s="22"/>
    </row>
    <row r="8" spans="1:8">
      <c r="A8" s="8" t="s">
        <v>9</v>
      </c>
      <c r="B8" s="9">
        <v>12</v>
      </c>
      <c r="D8" s="21" t="s">
        <v>10</v>
      </c>
      <c r="E8" s="22"/>
      <c r="F8" s="22"/>
      <c r="G8" s="22"/>
      <c r="H8" s="22"/>
    </row>
    <row r="10" spans="1:8" ht="15">
      <c r="A10" s="26" t="s">
        <v>11</v>
      </c>
      <c r="B10" s="25"/>
      <c r="C10" s="25"/>
      <c r="D10" s="25"/>
      <c r="E10" s="25"/>
      <c r="F10" s="25"/>
      <c r="G10" s="25"/>
      <c r="H10" s="25"/>
    </row>
    <row r="11" spans="1:8">
      <c r="A11" s="21" t="s">
        <v>12</v>
      </c>
      <c r="B11" s="22"/>
      <c r="C11" s="22"/>
      <c r="D11" s="22"/>
      <c r="E11" s="22"/>
      <c r="F11" s="22"/>
      <c r="G11" s="22"/>
      <c r="H11" s="22"/>
    </row>
    <row r="12" spans="1:8">
      <c r="A12" s="21" t="s">
        <v>13</v>
      </c>
      <c r="B12" s="22"/>
      <c r="C12" s="22"/>
      <c r="D12" s="22"/>
      <c r="E12" s="22"/>
      <c r="F12" s="22"/>
      <c r="G12" s="22"/>
      <c r="H12" s="22"/>
    </row>
    <row r="13" spans="1:8">
      <c r="A13" s="21" t="s">
        <v>14</v>
      </c>
      <c r="B13" s="22"/>
      <c r="C13" s="22"/>
      <c r="D13" s="22"/>
      <c r="E13" s="22"/>
      <c r="F13" s="22"/>
      <c r="G13" s="22"/>
      <c r="H13" s="22"/>
    </row>
    <row r="14" spans="1:8">
      <c r="A14" s="21" t="s">
        <v>15</v>
      </c>
      <c r="B14" s="22"/>
      <c r="C14" s="22"/>
      <c r="D14" s="22"/>
      <c r="E14" s="22"/>
      <c r="F14" s="22"/>
      <c r="G14" s="22"/>
      <c r="H14" s="22"/>
    </row>
  </sheetData>
  <mergeCells count="10">
    <mergeCell ref="A13:H13"/>
    <mergeCell ref="A11:H11"/>
    <mergeCell ref="A14:H14"/>
    <mergeCell ref="A1:H1"/>
    <mergeCell ref="D4:H4"/>
    <mergeCell ref="A12:H12"/>
    <mergeCell ref="D8:H8"/>
    <mergeCell ref="D5:H7"/>
    <mergeCell ref="A2:H2"/>
    <mergeCell ref="A10:H10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/>
  </sheetViews>
  <sheetFormatPr defaultRowHeight="14.25"/>
  <cols>
    <col min="1" max="1" width="18" customWidth="1"/>
    <col min="2" max="2" width="38" customWidth="1"/>
    <col min="3" max="3" width="48" customWidth="1"/>
    <col min="4" max="4" width="40" customWidth="1"/>
  </cols>
  <sheetData>
    <row r="1" spans="1:4" ht="15">
      <c r="A1" s="1" t="s">
        <v>2</v>
      </c>
      <c r="B1" s="10" t="s">
        <v>16</v>
      </c>
      <c r="C1" s="10" t="s">
        <v>17</v>
      </c>
      <c r="D1" s="2" t="s">
        <v>18</v>
      </c>
    </row>
    <row r="2" spans="1:4">
      <c r="A2" s="4" t="s">
        <v>19</v>
      </c>
      <c r="B2" s="11" t="s">
        <v>20</v>
      </c>
      <c r="C2" s="11" t="s">
        <v>21</v>
      </c>
      <c r="D2" s="5" t="s">
        <v>22</v>
      </c>
    </row>
    <row r="3" spans="1:4">
      <c r="A3" s="6" t="s">
        <v>23</v>
      </c>
      <c r="B3" s="3" t="s">
        <v>24</v>
      </c>
      <c r="C3" s="3" t="s">
        <v>25</v>
      </c>
      <c r="D3" s="7" t="s">
        <v>26</v>
      </c>
    </row>
    <row r="4" spans="1:4">
      <c r="A4" s="6" t="s">
        <v>27</v>
      </c>
      <c r="B4" s="3" t="s">
        <v>28</v>
      </c>
      <c r="C4" s="3" t="s">
        <v>29</v>
      </c>
      <c r="D4" s="7" t="s">
        <v>30</v>
      </c>
    </row>
    <row r="5" spans="1:4">
      <c r="A5" s="6" t="s">
        <v>31</v>
      </c>
      <c r="B5" s="3" t="s">
        <v>32</v>
      </c>
      <c r="C5" s="3" t="s">
        <v>33</v>
      </c>
      <c r="D5" s="7" t="s">
        <v>34</v>
      </c>
    </row>
    <row r="6" spans="1:4">
      <c r="A6" s="6" t="s">
        <v>35</v>
      </c>
      <c r="B6" s="3" t="s">
        <v>36</v>
      </c>
      <c r="C6" s="3" t="s">
        <v>37</v>
      </c>
      <c r="D6" s="7" t="s">
        <v>38</v>
      </c>
    </row>
    <row r="7" spans="1:4">
      <c r="A7" s="6" t="s">
        <v>39</v>
      </c>
      <c r="B7" s="3" t="s">
        <v>40</v>
      </c>
      <c r="C7" s="3" t="s">
        <v>41</v>
      </c>
      <c r="D7" s="7" t="s">
        <v>42</v>
      </c>
    </row>
    <row r="8" spans="1:4">
      <c r="A8" s="6" t="s">
        <v>43</v>
      </c>
      <c r="B8" s="3" t="s">
        <v>44</v>
      </c>
      <c r="C8" s="3" t="s">
        <v>45</v>
      </c>
      <c r="D8" s="7" t="s">
        <v>46</v>
      </c>
    </row>
    <row r="9" spans="1:4">
      <c r="A9" s="8" t="s">
        <v>47</v>
      </c>
      <c r="B9" s="12" t="s">
        <v>48</v>
      </c>
      <c r="C9" s="12" t="s">
        <v>49</v>
      </c>
      <c r="D9" s="9" t="s">
        <v>50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4"/>
  <sheetViews>
    <sheetView tabSelected="1" topLeftCell="A22" workbookViewId="0">
      <selection activeCell="K51" sqref="K51"/>
    </sheetView>
  </sheetViews>
  <sheetFormatPr defaultRowHeight="14.25"/>
  <cols>
    <col min="1" max="1" width="22" customWidth="1"/>
    <col min="2" max="3" width="16" customWidth="1"/>
    <col min="4" max="4" width="7" customWidth="1"/>
    <col min="5" max="5" width="8" customWidth="1"/>
    <col min="6" max="6" width="12" customWidth="1"/>
    <col min="7" max="7" width="22" customWidth="1"/>
    <col min="8" max="8" width="14" customWidth="1"/>
    <col min="9" max="10" width="7" customWidth="1"/>
    <col min="11" max="11" width="14" customWidth="1"/>
    <col min="12" max="12" width="22" customWidth="1"/>
    <col min="13" max="13" width="24" customWidth="1"/>
    <col min="14" max="14" width="52" customWidth="1"/>
    <col min="15" max="15" width="28" customWidth="1"/>
    <col min="16" max="16" width="40" customWidth="1"/>
    <col min="17" max="17" width="12" customWidth="1"/>
    <col min="18" max="18" width="30" customWidth="1"/>
  </cols>
  <sheetData>
    <row r="1" spans="1:18" ht="15">
      <c r="A1" s="1" t="s">
        <v>51</v>
      </c>
      <c r="B1" s="10" t="s">
        <v>52</v>
      </c>
      <c r="C1" s="10" t="s">
        <v>53</v>
      </c>
      <c r="D1" s="10" t="s">
        <v>54</v>
      </c>
      <c r="E1" s="10" t="s">
        <v>55</v>
      </c>
      <c r="F1" s="10" t="s">
        <v>56</v>
      </c>
      <c r="G1" s="10" t="s">
        <v>57</v>
      </c>
      <c r="H1" s="10" t="s">
        <v>58</v>
      </c>
      <c r="I1" s="10" t="s">
        <v>59</v>
      </c>
      <c r="J1" s="10" t="s">
        <v>60</v>
      </c>
      <c r="K1" s="10" t="s">
        <v>61</v>
      </c>
      <c r="L1" s="10" t="s">
        <v>62</v>
      </c>
      <c r="M1" s="10" t="s">
        <v>63</v>
      </c>
      <c r="N1" s="10" t="s">
        <v>64</v>
      </c>
      <c r="O1" s="10" t="s">
        <v>65</v>
      </c>
      <c r="P1" s="10" t="s">
        <v>66</v>
      </c>
      <c r="Q1" s="10" t="s">
        <v>67</v>
      </c>
      <c r="R1" s="2" t="s">
        <v>68</v>
      </c>
    </row>
    <row r="2" spans="1:18" ht="28.5">
      <c r="A2" s="4" t="s">
        <v>69</v>
      </c>
      <c r="B2" s="11" t="s">
        <v>70</v>
      </c>
      <c r="C2" s="11" t="s">
        <v>71</v>
      </c>
      <c r="D2" s="11">
        <v>1</v>
      </c>
      <c r="E2" s="11" t="s">
        <v>72</v>
      </c>
      <c r="F2" s="11" t="s">
        <v>73</v>
      </c>
      <c r="G2" s="11" t="s">
        <v>74</v>
      </c>
      <c r="H2" s="11" t="s">
        <v>75</v>
      </c>
      <c r="I2" s="11">
        <v>1</v>
      </c>
      <c r="J2" s="11">
        <v>2</v>
      </c>
      <c r="K2" s="11" t="s">
        <v>76</v>
      </c>
      <c r="L2" s="11" t="s">
        <v>77</v>
      </c>
      <c r="M2" s="11" t="s">
        <v>78</v>
      </c>
      <c r="N2" s="11" t="s">
        <v>79</v>
      </c>
      <c r="O2" s="11" t="s">
        <v>80</v>
      </c>
      <c r="P2" s="11" t="s">
        <v>81</v>
      </c>
      <c r="Q2" s="11" t="s">
        <v>82</v>
      </c>
      <c r="R2" s="5"/>
    </row>
    <row r="3" spans="1:18" ht="28.5">
      <c r="A3" s="6" t="s">
        <v>83</v>
      </c>
      <c r="B3" s="3" t="s">
        <v>70</v>
      </c>
      <c r="C3" s="3" t="s">
        <v>71</v>
      </c>
      <c r="D3" s="3">
        <v>2</v>
      </c>
      <c r="E3" s="3" t="s">
        <v>72</v>
      </c>
      <c r="F3" s="3" t="s">
        <v>73</v>
      </c>
      <c r="G3" s="3" t="s">
        <v>74</v>
      </c>
      <c r="H3" s="3" t="s">
        <v>75</v>
      </c>
      <c r="I3" s="3">
        <v>1</v>
      </c>
      <c r="J3" s="3">
        <v>2</v>
      </c>
      <c r="K3" s="3" t="s">
        <v>76</v>
      </c>
      <c r="L3" s="3" t="s">
        <v>84</v>
      </c>
      <c r="M3" s="3" t="s">
        <v>78</v>
      </c>
      <c r="N3" s="3" t="s">
        <v>85</v>
      </c>
      <c r="O3" s="3" t="s">
        <v>80</v>
      </c>
      <c r="P3" s="3" t="s">
        <v>86</v>
      </c>
      <c r="Q3" s="3" t="s">
        <v>82</v>
      </c>
      <c r="R3" s="7"/>
    </row>
    <row r="4" spans="1:18" ht="28.5">
      <c r="A4" s="6" t="s">
        <v>87</v>
      </c>
      <c r="B4" s="3" t="s">
        <v>88</v>
      </c>
      <c r="C4" s="3" t="s">
        <v>89</v>
      </c>
      <c r="D4" s="3">
        <v>2</v>
      </c>
      <c r="E4" s="3" t="s">
        <v>90</v>
      </c>
      <c r="F4" s="3" t="s">
        <v>91</v>
      </c>
      <c r="G4" s="3" t="s">
        <v>92</v>
      </c>
      <c r="H4" s="3" t="s">
        <v>93</v>
      </c>
      <c r="I4" s="3">
        <v>1</v>
      </c>
      <c r="J4" s="3">
        <v>2</v>
      </c>
      <c r="K4" s="3" t="s">
        <v>76</v>
      </c>
      <c r="L4" s="3" t="s">
        <v>94</v>
      </c>
      <c r="M4" s="3" t="s">
        <v>95</v>
      </c>
      <c r="N4" s="3" t="s">
        <v>96</v>
      </c>
      <c r="O4" s="3" t="s">
        <v>97</v>
      </c>
      <c r="P4" s="3" t="s">
        <v>98</v>
      </c>
      <c r="Q4" s="3" t="s">
        <v>82</v>
      </c>
      <c r="R4" s="7"/>
    </row>
    <row r="5" spans="1:18" ht="28.5">
      <c r="A5" s="6" t="s">
        <v>99</v>
      </c>
      <c r="B5" s="3" t="s">
        <v>88</v>
      </c>
      <c r="C5" s="3" t="s">
        <v>89</v>
      </c>
      <c r="D5" s="3">
        <v>3</v>
      </c>
      <c r="E5" s="3" t="s">
        <v>90</v>
      </c>
      <c r="F5" s="3" t="s">
        <v>91</v>
      </c>
      <c r="G5" s="3" t="s">
        <v>92</v>
      </c>
      <c r="H5" s="3" t="s">
        <v>93</v>
      </c>
      <c r="I5" s="3">
        <v>1</v>
      </c>
      <c r="J5" s="3">
        <v>2</v>
      </c>
      <c r="K5" s="3" t="s">
        <v>76</v>
      </c>
      <c r="L5" s="3" t="s">
        <v>94</v>
      </c>
      <c r="M5" s="3" t="s">
        <v>95</v>
      </c>
      <c r="N5" s="3" t="s">
        <v>100</v>
      </c>
      <c r="O5" s="3" t="s">
        <v>97</v>
      </c>
      <c r="P5" s="3" t="s">
        <v>98</v>
      </c>
      <c r="Q5" s="3" t="s">
        <v>82</v>
      </c>
      <c r="R5" s="7"/>
    </row>
    <row r="6" spans="1:18" ht="28.5">
      <c r="A6" s="6" t="s">
        <v>101</v>
      </c>
      <c r="B6" s="3" t="s">
        <v>88</v>
      </c>
      <c r="C6" s="3" t="s">
        <v>89</v>
      </c>
      <c r="D6" s="3">
        <v>4</v>
      </c>
      <c r="E6" s="3" t="s">
        <v>90</v>
      </c>
      <c r="F6" s="3" t="s">
        <v>91</v>
      </c>
      <c r="G6" s="3" t="s">
        <v>92</v>
      </c>
      <c r="H6" s="3" t="s">
        <v>93</v>
      </c>
      <c r="I6" s="3">
        <v>1</v>
      </c>
      <c r="J6" s="3">
        <v>2</v>
      </c>
      <c r="K6" s="3" t="s">
        <v>76</v>
      </c>
      <c r="L6" s="3" t="s">
        <v>94</v>
      </c>
      <c r="M6" s="3" t="s">
        <v>95</v>
      </c>
      <c r="N6" s="3" t="s">
        <v>102</v>
      </c>
      <c r="O6" s="3" t="s">
        <v>97</v>
      </c>
      <c r="P6" s="3" t="s">
        <v>98</v>
      </c>
      <c r="Q6" s="3" t="s">
        <v>82</v>
      </c>
      <c r="R6" s="7"/>
    </row>
    <row r="7" spans="1:18" ht="28.5">
      <c r="A7" s="6" t="s">
        <v>103</v>
      </c>
      <c r="B7" s="3" t="s">
        <v>70</v>
      </c>
      <c r="C7" s="3" t="s">
        <v>104</v>
      </c>
      <c r="D7" s="3">
        <v>3</v>
      </c>
      <c r="E7" s="3" t="s">
        <v>105</v>
      </c>
      <c r="F7" s="3" t="s">
        <v>91</v>
      </c>
      <c r="G7" s="3" t="s">
        <v>92</v>
      </c>
      <c r="H7" s="3" t="s">
        <v>93</v>
      </c>
      <c r="I7" s="3">
        <v>2</v>
      </c>
      <c r="J7" s="3">
        <v>2</v>
      </c>
      <c r="K7" s="3" t="s">
        <v>76</v>
      </c>
      <c r="L7" s="3" t="s">
        <v>94</v>
      </c>
      <c r="M7" s="3" t="s">
        <v>106</v>
      </c>
      <c r="N7" s="3" t="s">
        <v>107</v>
      </c>
      <c r="O7" s="3" t="s">
        <v>108</v>
      </c>
      <c r="P7" s="3" t="s">
        <v>109</v>
      </c>
      <c r="Q7" s="3" t="s">
        <v>82</v>
      </c>
      <c r="R7" s="7"/>
    </row>
    <row r="8" spans="1:18">
      <c r="A8" s="6" t="s">
        <v>110</v>
      </c>
      <c r="B8" s="3" t="s">
        <v>88</v>
      </c>
      <c r="C8" s="3" t="s">
        <v>111</v>
      </c>
      <c r="D8" s="3">
        <v>1</v>
      </c>
      <c r="E8" s="3" t="s">
        <v>112</v>
      </c>
      <c r="F8" s="3" t="s">
        <v>73</v>
      </c>
      <c r="G8" s="3" t="s">
        <v>92</v>
      </c>
      <c r="H8" s="3" t="s">
        <v>93</v>
      </c>
      <c r="I8" s="3">
        <v>1</v>
      </c>
      <c r="J8" s="3">
        <v>2</v>
      </c>
      <c r="K8" s="3" t="s">
        <v>76</v>
      </c>
      <c r="L8" s="3" t="s">
        <v>94</v>
      </c>
      <c r="M8" s="3" t="s">
        <v>113</v>
      </c>
      <c r="N8" s="3" t="s">
        <v>114</v>
      </c>
      <c r="O8" s="3" t="s">
        <v>115</v>
      </c>
      <c r="P8" s="3" t="s">
        <v>116</v>
      </c>
      <c r="Q8" s="3" t="s">
        <v>82</v>
      </c>
      <c r="R8" s="7"/>
    </row>
    <row r="9" spans="1:18">
      <c r="A9" s="6" t="s">
        <v>117</v>
      </c>
      <c r="B9" s="3" t="s">
        <v>88</v>
      </c>
      <c r="C9" s="3" t="s">
        <v>111</v>
      </c>
      <c r="D9" s="3">
        <v>2</v>
      </c>
      <c r="E9" s="3" t="s">
        <v>112</v>
      </c>
      <c r="F9" s="3" t="s">
        <v>73</v>
      </c>
      <c r="G9" s="3" t="s">
        <v>92</v>
      </c>
      <c r="H9" s="3" t="s">
        <v>93</v>
      </c>
      <c r="I9" s="3">
        <v>1</v>
      </c>
      <c r="J9" s="3">
        <v>2</v>
      </c>
      <c r="K9" s="3" t="s">
        <v>76</v>
      </c>
      <c r="L9" s="3" t="s">
        <v>94</v>
      </c>
      <c r="M9" s="3" t="s">
        <v>113</v>
      </c>
      <c r="N9" s="3" t="s">
        <v>118</v>
      </c>
      <c r="O9" s="3" t="s">
        <v>115</v>
      </c>
      <c r="P9" s="3" t="s">
        <v>116</v>
      </c>
      <c r="Q9" s="3" t="s">
        <v>82</v>
      </c>
      <c r="R9" s="7"/>
    </row>
    <row r="10" spans="1:18">
      <c r="A10" s="6" t="s">
        <v>119</v>
      </c>
      <c r="B10" s="3" t="s">
        <v>88</v>
      </c>
      <c r="C10" s="3" t="s">
        <v>111</v>
      </c>
      <c r="D10" s="3">
        <v>3</v>
      </c>
      <c r="E10" s="3" t="s">
        <v>112</v>
      </c>
      <c r="F10" s="3" t="s">
        <v>73</v>
      </c>
      <c r="G10" s="3" t="s">
        <v>92</v>
      </c>
      <c r="H10" s="3" t="s">
        <v>93</v>
      </c>
      <c r="I10" s="3">
        <v>1</v>
      </c>
      <c r="J10" s="3">
        <v>2</v>
      </c>
      <c r="K10" s="3" t="s">
        <v>76</v>
      </c>
      <c r="L10" s="3" t="s">
        <v>94</v>
      </c>
      <c r="M10" s="3" t="s">
        <v>113</v>
      </c>
      <c r="N10" s="3" t="s">
        <v>120</v>
      </c>
      <c r="O10" s="3" t="s">
        <v>115</v>
      </c>
      <c r="P10" s="3" t="s">
        <v>116</v>
      </c>
      <c r="Q10" s="3" t="s">
        <v>82</v>
      </c>
      <c r="R10" s="7"/>
    </row>
    <row r="11" spans="1:18" ht="28.5">
      <c r="A11" s="6" t="s">
        <v>121</v>
      </c>
      <c r="B11" s="3" t="s">
        <v>70</v>
      </c>
      <c r="C11" s="3" t="s">
        <v>31</v>
      </c>
      <c r="D11" s="3">
        <v>4</v>
      </c>
      <c r="E11" s="3" t="s">
        <v>122</v>
      </c>
      <c r="F11" s="3" t="s">
        <v>123</v>
      </c>
      <c r="G11" s="3" t="s">
        <v>92</v>
      </c>
      <c r="H11" s="3" t="s">
        <v>93</v>
      </c>
      <c r="I11" s="3">
        <v>2</v>
      </c>
      <c r="J11" s="3">
        <v>3</v>
      </c>
      <c r="K11" s="3" t="s">
        <v>76</v>
      </c>
      <c r="L11" s="3" t="s">
        <v>94</v>
      </c>
      <c r="M11" s="3" t="s">
        <v>124</v>
      </c>
      <c r="N11" s="3" t="s">
        <v>125</v>
      </c>
      <c r="O11" s="3" t="s">
        <v>126</v>
      </c>
      <c r="P11" s="3" t="s">
        <v>127</v>
      </c>
      <c r="Q11" s="3" t="s">
        <v>82</v>
      </c>
      <c r="R11" s="7"/>
    </row>
    <row r="12" spans="1:18" ht="28.5">
      <c r="A12" s="6" t="s">
        <v>128</v>
      </c>
      <c r="B12" s="3" t="s">
        <v>88</v>
      </c>
      <c r="C12" s="3" t="s">
        <v>35</v>
      </c>
      <c r="D12" s="3">
        <v>4</v>
      </c>
      <c r="E12" s="3" t="s">
        <v>122</v>
      </c>
      <c r="F12" s="3" t="s">
        <v>91</v>
      </c>
      <c r="G12" s="3" t="s">
        <v>92</v>
      </c>
      <c r="H12" s="3" t="s">
        <v>93</v>
      </c>
      <c r="I12" s="3">
        <v>1</v>
      </c>
      <c r="J12" s="3">
        <v>2</v>
      </c>
      <c r="K12" s="3" t="s">
        <v>76</v>
      </c>
      <c r="L12" s="3" t="s">
        <v>94</v>
      </c>
      <c r="M12" s="3" t="s">
        <v>129</v>
      </c>
      <c r="N12" s="3" t="s">
        <v>130</v>
      </c>
      <c r="O12" s="3" t="s">
        <v>131</v>
      </c>
      <c r="P12" s="3" t="s">
        <v>132</v>
      </c>
      <c r="Q12" s="3" t="s">
        <v>82</v>
      </c>
      <c r="R12" s="7"/>
    </row>
    <row r="13" spans="1:18" ht="28.5">
      <c r="A13" s="6" t="s">
        <v>133</v>
      </c>
      <c r="B13" s="3" t="s">
        <v>70</v>
      </c>
      <c r="C13" s="3" t="s">
        <v>39</v>
      </c>
      <c r="D13" s="3">
        <v>5</v>
      </c>
      <c r="E13" s="3" t="s">
        <v>134</v>
      </c>
      <c r="F13" s="3" t="s">
        <v>123</v>
      </c>
      <c r="G13" s="3" t="s">
        <v>92</v>
      </c>
      <c r="H13" s="3" t="s">
        <v>93</v>
      </c>
      <c r="I13" s="3">
        <v>2</v>
      </c>
      <c r="J13" s="3">
        <v>3</v>
      </c>
      <c r="K13" s="3" t="s">
        <v>76</v>
      </c>
      <c r="L13" s="3" t="s">
        <v>94</v>
      </c>
      <c r="M13" s="3" t="s">
        <v>135</v>
      </c>
      <c r="N13" s="3" t="s">
        <v>136</v>
      </c>
      <c r="O13" s="3" t="s">
        <v>137</v>
      </c>
      <c r="P13" s="3" t="s">
        <v>138</v>
      </c>
      <c r="Q13" s="3" t="s">
        <v>82</v>
      </c>
      <c r="R13" s="7"/>
    </row>
    <row r="14" spans="1:18" ht="42.75">
      <c r="A14" s="6" t="s">
        <v>139</v>
      </c>
      <c r="B14" s="3" t="s">
        <v>140</v>
      </c>
      <c r="C14" s="3" t="s">
        <v>43</v>
      </c>
      <c r="D14" s="3">
        <v>6</v>
      </c>
      <c r="E14" s="3" t="s">
        <v>141</v>
      </c>
      <c r="F14" s="3" t="s">
        <v>142</v>
      </c>
      <c r="G14" s="3" t="s">
        <v>74</v>
      </c>
      <c r="H14" s="3" t="s">
        <v>93</v>
      </c>
      <c r="I14" s="3">
        <v>2</v>
      </c>
      <c r="J14" s="3">
        <v>3</v>
      </c>
      <c r="K14" s="3" t="s">
        <v>143</v>
      </c>
      <c r="L14" s="3" t="s">
        <v>94</v>
      </c>
      <c r="M14" s="3" t="s">
        <v>144</v>
      </c>
      <c r="N14" s="3" t="s">
        <v>145</v>
      </c>
      <c r="O14" s="3" t="s">
        <v>146</v>
      </c>
      <c r="P14" s="3" t="s">
        <v>147</v>
      </c>
      <c r="Q14" s="3" t="s">
        <v>82</v>
      </c>
      <c r="R14" s="7"/>
    </row>
    <row r="15" spans="1:18" ht="42.75">
      <c r="A15" s="6" t="s">
        <v>148</v>
      </c>
      <c r="B15" s="3" t="s">
        <v>140</v>
      </c>
      <c r="C15" s="3" t="s">
        <v>43</v>
      </c>
      <c r="D15" s="3">
        <v>7</v>
      </c>
      <c r="E15" s="3" t="s">
        <v>141</v>
      </c>
      <c r="F15" s="3" t="s">
        <v>142</v>
      </c>
      <c r="G15" s="3" t="s">
        <v>74</v>
      </c>
      <c r="H15" s="3" t="s">
        <v>93</v>
      </c>
      <c r="I15" s="3">
        <v>2</v>
      </c>
      <c r="J15" s="3">
        <v>3</v>
      </c>
      <c r="K15" s="3" t="s">
        <v>143</v>
      </c>
      <c r="L15" s="3" t="s">
        <v>94</v>
      </c>
      <c r="M15" s="3" t="s">
        <v>144</v>
      </c>
      <c r="N15" s="3" t="s">
        <v>149</v>
      </c>
      <c r="O15" s="3" t="s">
        <v>146</v>
      </c>
      <c r="P15" s="3" t="s">
        <v>147</v>
      </c>
      <c r="Q15" s="3" t="s">
        <v>82</v>
      </c>
      <c r="R15" s="7"/>
    </row>
    <row r="16" spans="1:18" ht="42.75">
      <c r="A16" s="6" t="s">
        <v>150</v>
      </c>
      <c r="B16" s="3" t="s">
        <v>140</v>
      </c>
      <c r="C16" s="3" t="s">
        <v>43</v>
      </c>
      <c r="D16" s="3">
        <v>8</v>
      </c>
      <c r="E16" s="3" t="s">
        <v>141</v>
      </c>
      <c r="F16" s="3" t="s">
        <v>142</v>
      </c>
      <c r="G16" s="3" t="s">
        <v>74</v>
      </c>
      <c r="H16" s="3" t="s">
        <v>93</v>
      </c>
      <c r="I16" s="3">
        <v>2</v>
      </c>
      <c r="J16" s="3">
        <v>3</v>
      </c>
      <c r="K16" s="3" t="s">
        <v>143</v>
      </c>
      <c r="L16" s="3" t="s">
        <v>94</v>
      </c>
      <c r="M16" s="3" t="s">
        <v>144</v>
      </c>
      <c r="N16" s="3" t="s">
        <v>151</v>
      </c>
      <c r="O16" s="3" t="s">
        <v>146</v>
      </c>
      <c r="P16" s="3" t="s">
        <v>147</v>
      </c>
      <c r="Q16" s="3" t="s">
        <v>82</v>
      </c>
      <c r="R16" s="7"/>
    </row>
    <row r="17" spans="1:18" ht="42.75">
      <c r="A17" s="6" t="s">
        <v>152</v>
      </c>
      <c r="B17" s="3" t="s">
        <v>140</v>
      </c>
      <c r="C17" s="3" t="s">
        <v>153</v>
      </c>
      <c r="D17" s="3">
        <v>9</v>
      </c>
      <c r="E17" s="3" t="s">
        <v>154</v>
      </c>
      <c r="F17" s="3" t="s">
        <v>155</v>
      </c>
      <c r="G17" s="3" t="s">
        <v>92</v>
      </c>
      <c r="H17" s="3" t="s">
        <v>156</v>
      </c>
      <c r="I17" s="3">
        <v>3</v>
      </c>
      <c r="J17" s="3">
        <v>4</v>
      </c>
      <c r="K17" s="3" t="s">
        <v>143</v>
      </c>
      <c r="L17" s="3" t="s">
        <v>157</v>
      </c>
      <c r="M17" s="3" t="s">
        <v>158</v>
      </c>
      <c r="N17" s="3" t="s">
        <v>159</v>
      </c>
      <c r="O17" s="3" t="s">
        <v>160</v>
      </c>
      <c r="P17" s="3" t="s">
        <v>161</v>
      </c>
      <c r="Q17" s="3" t="s">
        <v>82</v>
      </c>
      <c r="R17" s="7"/>
    </row>
    <row r="18" spans="1:18">
      <c r="A18" s="6" t="s">
        <v>162</v>
      </c>
      <c r="B18" s="3" t="s">
        <v>163</v>
      </c>
      <c r="C18" s="3" t="s">
        <v>164</v>
      </c>
      <c r="D18" s="3">
        <v>1</v>
      </c>
      <c r="E18" s="3" t="s">
        <v>112</v>
      </c>
      <c r="F18" s="3" t="s">
        <v>73</v>
      </c>
      <c r="G18" s="3" t="s">
        <v>165</v>
      </c>
      <c r="H18" s="3" t="s">
        <v>93</v>
      </c>
      <c r="I18" s="3">
        <v>1</v>
      </c>
      <c r="J18" s="3">
        <v>2</v>
      </c>
      <c r="K18" s="3" t="s">
        <v>76</v>
      </c>
      <c r="L18" s="3" t="s">
        <v>94</v>
      </c>
      <c r="M18" s="3" t="s">
        <v>166</v>
      </c>
      <c r="N18" s="3" t="s">
        <v>167</v>
      </c>
      <c r="O18" s="3" t="s">
        <v>168</v>
      </c>
      <c r="P18" s="3" t="s">
        <v>169</v>
      </c>
      <c r="Q18" s="3" t="s">
        <v>82</v>
      </c>
      <c r="R18" s="7"/>
    </row>
    <row r="19" spans="1:18">
      <c r="A19" s="6" t="s">
        <v>170</v>
      </c>
      <c r="B19" s="3" t="s">
        <v>163</v>
      </c>
      <c r="C19" s="3" t="s">
        <v>164</v>
      </c>
      <c r="D19" s="3">
        <v>2</v>
      </c>
      <c r="E19" s="3" t="s">
        <v>112</v>
      </c>
      <c r="F19" s="3" t="s">
        <v>73</v>
      </c>
      <c r="G19" s="3" t="s">
        <v>165</v>
      </c>
      <c r="H19" s="3" t="s">
        <v>93</v>
      </c>
      <c r="I19" s="3">
        <v>1</v>
      </c>
      <c r="J19" s="3">
        <v>2</v>
      </c>
      <c r="K19" s="3" t="s">
        <v>76</v>
      </c>
      <c r="L19" s="3" t="s">
        <v>94</v>
      </c>
      <c r="M19" s="3" t="s">
        <v>166</v>
      </c>
      <c r="N19" s="3" t="s">
        <v>171</v>
      </c>
      <c r="O19" s="3" t="s">
        <v>168</v>
      </c>
      <c r="P19" s="3" t="s">
        <v>169</v>
      </c>
      <c r="Q19" s="3" t="s">
        <v>82</v>
      </c>
      <c r="R19" s="7"/>
    </row>
    <row r="20" spans="1:18">
      <c r="A20" s="6" t="s">
        <v>172</v>
      </c>
      <c r="B20" s="3" t="s">
        <v>163</v>
      </c>
      <c r="C20" s="3" t="s">
        <v>164</v>
      </c>
      <c r="D20" s="3">
        <v>3</v>
      </c>
      <c r="E20" s="3" t="s">
        <v>112</v>
      </c>
      <c r="F20" s="3" t="s">
        <v>73</v>
      </c>
      <c r="G20" s="3" t="s">
        <v>165</v>
      </c>
      <c r="H20" s="3" t="s">
        <v>93</v>
      </c>
      <c r="I20" s="3">
        <v>1</v>
      </c>
      <c r="J20" s="3">
        <v>2</v>
      </c>
      <c r="K20" s="3" t="s">
        <v>76</v>
      </c>
      <c r="L20" s="3" t="s">
        <v>94</v>
      </c>
      <c r="M20" s="3" t="s">
        <v>166</v>
      </c>
      <c r="N20" s="3" t="s">
        <v>173</v>
      </c>
      <c r="O20" s="3" t="s">
        <v>168</v>
      </c>
      <c r="P20" s="3" t="s">
        <v>169</v>
      </c>
      <c r="Q20" s="3" t="s">
        <v>82</v>
      </c>
      <c r="R20" s="7"/>
    </row>
    <row r="21" spans="1:18">
      <c r="A21" s="6" t="s">
        <v>174</v>
      </c>
      <c r="B21" s="3" t="s">
        <v>163</v>
      </c>
      <c r="C21" s="3" t="s">
        <v>175</v>
      </c>
      <c r="D21" s="3">
        <v>1</v>
      </c>
      <c r="E21" s="3" t="s">
        <v>112</v>
      </c>
      <c r="F21" s="3" t="s">
        <v>73</v>
      </c>
      <c r="G21" s="3" t="s">
        <v>92</v>
      </c>
      <c r="H21" s="3" t="s">
        <v>93</v>
      </c>
      <c r="I21" s="3">
        <v>1</v>
      </c>
      <c r="J21" s="3">
        <v>2</v>
      </c>
      <c r="K21" s="3" t="s">
        <v>76</v>
      </c>
      <c r="L21" s="3" t="s">
        <v>94</v>
      </c>
      <c r="M21" s="3" t="s">
        <v>176</v>
      </c>
      <c r="N21" s="3" t="s">
        <v>177</v>
      </c>
      <c r="O21" s="3" t="s">
        <v>178</v>
      </c>
      <c r="P21" s="3" t="s">
        <v>169</v>
      </c>
      <c r="Q21" s="3" t="s">
        <v>82</v>
      </c>
      <c r="R21" s="7"/>
    </row>
    <row r="22" spans="1:18">
      <c r="A22" s="6" t="s">
        <v>179</v>
      </c>
      <c r="B22" s="3" t="s">
        <v>163</v>
      </c>
      <c r="C22" s="3" t="s">
        <v>175</v>
      </c>
      <c r="D22" s="3">
        <v>2</v>
      </c>
      <c r="E22" s="3" t="s">
        <v>112</v>
      </c>
      <c r="F22" s="3" t="s">
        <v>73</v>
      </c>
      <c r="G22" s="3" t="s">
        <v>92</v>
      </c>
      <c r="H22" s="3" t="s">
        <v>93</v>
      </c>
      <c r="I22" s="3">
        <v>1</v>
      </c>
      <c r="J22" s="3">
        <v>2</v>
      </c>
      <c r="K22" s="3" t="s">
        <v>76</v>
      </c>
      <c r="L22" s="3" t="s">
        <v>94</v>
      </c>
      <c r="M22" s="3" t="s">
        <v>176</v>
      </c>
      <c r="N22" s="3" t="s">
        <v>180</v>
      </c>
      <c r="O22" s="3" t="s">
        <v>178</v>
      </c>
      <c r="P22" s="3" t="s">
        <v>169</v>
      </c>
      <c r="Q22" s="3" t="s">
        <v>82</v>
      </c>
      <c r="R22" s="7"/>
    </row>
    <row r="23" spans="1:18">
      <c r="A23" s="6" t="s">
        <v>181</v>
      </c>
      <c r="B23" s="3" t="s">
        <v>163</v>
      </c>
      <c r="C23" s="3" t="s">
        <v>175</v>
      </c>
      <c r="D23" s="3">
        <v>3</v>
      </c>
      <c r="E23" s="3" t="s">
        <v>112</v>
      </c>
      <c r="F23" s="3" t="s">
        <v>73</v>
      </c>
      <c r="G23" s="3" t="s">
        <v>92</v>
      </c>
      <c r="H23" s="3" t="s">
        <v>93</v>
      </c>
      <c r="I23" s="3">
        <v>1</v>
      </c>
      <c r="J23" s="3">
        <v>2</v>
      </c>
      <c r="K23" s="3" t="s">
        <v>76</v>
      </c>
      <c r="L23" s="3" t="s">
        <v>94</v>
      </c>
      <c r="M23" s="3" t="s">
        <v>176</v>
      </c>
      <c r="N23" s="3" t="s">
        <v>182</v>
      </c>
      <c r="O23" s="3" t="s">
        <v>178</v>
      </c>
      <c r="P23" s="3" t="s">
        <v>169</v>
      </c>
      <c r="Q23" s="3" t="s">
        <v>82</v>
      </c>
      <c r="R23" s="7"/>
    </row>
    <row r="24" spans="1:18">
      <c r="A24" s="6" t="s">
        <v>183</v>
      </c>
      <c r="B24" s="3" t="s">
        <v>163</v>
      </c>
      <c r="C24" s="3" t="s">
        <v>184</v>
      </c>
      <c r="D24" s="3">
        <v>2</v>
      </c>
      <c r="E24" s="3" t="s">
        <v>90</v>
      </c>
      <c r="F24" s="3" t="s">
        <v>91</v>
      </c>
      <c r="G24" s="3" t="s">
        <v>92</v>
      </c>
      <c r="H24" s="3" t="s">
        <v>93</v>
      </c>
      <c r="I24" s="3">
        <v>1</v>
      </c>
      <c r="J24" s="3">
        <v>3</v>
      </c>
      <c r="K24" s="3" t="s">
        <v>76</v>
      </c>
      <c r="L24" s="3" t="s">
        <v>94</v>
      </c>
      <c r="M24" s="3" t="s">
        <v>185</v>
      </c>
      <c r="N24" s="3" t="s">
        <v>186</v>
      </c>
      <c r="O24" s="3" t="s">
        <v>187</v>
      </c>
      <c r="P24" s="3" t="s">
        <v>188</v>
      </c>
      <c r="Q24" s="3" t="s">
        <v>82</v>
      </c>
      <c r="R24" s="7"/>
    </row>
    <row r="25" spans="1:18">
      <c r="A25" s="6" t="s">
        <v>189</v>
      </c>
      <c r="B25" s="3" t="s">
        <v>163</v>
      </c>
      <c r="C25" s="3" t="s">
        <v>184</v>
      </c>
      <c r="D25" s="3">
        <v>3</v>
      </c>
      <c r="E25" s="3" t="s">
        <v>90</v>
      </c>
      <c r="F25" s="3" t="s">
        <v>91</v>
      </c>
      <c r="G25" s="3" t="s">
        <v>92</v>
      </c>
      <c r="H25" s="3" t="s">
        <v>93</v>
      </c>
      <c r="I25" s="3">
        <v>1</v>
      </c>
      <c r="J25" s="3">
        <v>3</v>
      </c>
      <c r="K25" s="3" t="s">
        <v>76</v>
      </c>
      <c r="L25" s="3" t="s">
        <v>94</v>
      </c>
      <c r="M25" s="3" t="s">
        <v>185</v>
      </c>
      <c r="N25" s="3" t="s">
        <v>190</v>
      </c>
      <c r="O25" s="3" t="s">
        <v>187</v>
      </c>
      <c r="P25" s="3" t="s">
        <v>188</v>
      </c>
      <c r="Q25" s="3" t="s">
        <v>82</v>
      </c>
      <c r="R25" s="7"/>
    </row>
    <row r="26" spans="1:18">
      <c r="A26" s="6" t="s">
        <v>191</v>
      </c>
      <c r="B26" s="3" t="s">
        <v>163</v>
      </c>
      <c r="C26" s="3" t="s">
        <v>184</v>
      </c>
      <c r="D26" s="3">
        <v>4</v>
      </c>
      <c r="E26" s="3" t="s">
        <v>90</v>
      </c>
      <c r="F26" s="3" t="s">
        <v>91</v>
      </c>
      <c r="G26" s="3" t="s">
        <v>92</v>
      </c>
      <c r="H26" s="3" t="s">
        <v>93</v>
      </c>
      <c r="I26" s="3">
        <v>1</v>
      </c>
      <c r="J26" s="3">
        <v>3</v>
      </c>
      <c r="K26" s="3" t="s">
        <v>76</v>
      </c>
      <c r="L26" s="3" t="s">
        <v>94</v>
      </c>
      <c r="M26" s="3" t="s">
        <v>185</v>
      </c>
      <c r="N26" s="3" t="s">
        <v>192</v>
      </c>
      <c r="O26" s="3" t="s">
        <v>187</v>
      </c>
      <c r="P26" s="3" t="s">
        <v>188</v>
      </c>
      <c r="Q26" s="3" t="s">
        <v>82</v>
      </c>
      <c r="R26" s="7"/>
    </row>
    <row r="27" spans="1:18" ht="28.5">
      <c r="A27" s="6" t="s">
        <v>193</v>
      </c>
      <c r="B27" s="3" t="s">
        <v>163</v>
      </c>
      <c r="C27" s="3" t="s">
        <v>194</v>
      </c>
      <c r="D27" s="3">
        <v>4</v>
      </c>
      <c r="E27" s="3" t="s">
        <v>195</v>
      </c>
      <c r="F27" s="3" t="s">
        <v>91</v>
      </c>
      <c r="G27" s="3" t="s">
        <v>92</v>
      </c>
      <c r="H27" s="3" t="s">
        <v>93</v>
      </c>
      <c r="I27" s="3">
        <v>2</v>
      </c>
      <c r="J27" s="3">
        <v>3</v>
      </c>
      <c r="K27" s="3" t="s">
        <v>76</v>
      </c>
      <c r="L27" s="3" t="s">
        <v>94</v>
      </c>
      <c r="M27" s="3" t="s">
        <v>196</v>
      </c>
      <c r="N27" s="3" t="s">
        <v>197</v>
      </c>
      <c r="O27" s="3" t="s">
        <v>198</v>
      </c>
      <c r="P27" s="3" t="s">
        <v>199</v>
      </c>
      <c r="Q27" s="3" t="s">
        <v>82</v>
      </c>
      <c r="R27" s="7"/>
    </row>
    <row r="28" spans="1:18" ht="28.5">
      <c r="A28" s="6" t="s">
        <v>200</v>
      </c>
      <c r="B28" s="3" t="s">
        <v>163</v>
      </c>
      <c r="C28" s="3" t="s">
        <v>194</v>
      </c>
      <c r="D28" s="3">
        <v>5</v>
      </c>
      <c r="E28" s="3" t="s">
        <v>195</v>
      </c>
      <c r="F28" s="3" t="s">
        <v>91</v>
      </c>
      <c r="G28" s="3" t="s">
        <v>92</v>
      </c>
      <c r="H28" s="3" t="s">
        <v>93</v>
      </c>
      <c r="I28" s="3">
        <v>2</v>
      </c>
      <c r="J28" s="3">
        <v>3</v>
      </c>
      <c r="K28" s="3" t="s">
        <v>76</v>
      </c>
      <c r="L28" s="3" t="s">
        <v>94</v>
      </c>
      <c r="M28" s="3" t="s">
        <v>196</v>
      </c>
      <c r="N28" s="3" t="s">
        <v>197</v>
      </c>
      <c r="O28" s="3" t="s">
        <v>198</v>
      </c>
      <c r="P28" s="3" t="s">
        <v>199</v>
      </c>
      <c r="Q28" s="3" t="s">
        <v>82</v>
      </c>
      <c r="R28" s="7"/>
    </row>
    <row r="29" spans="1:18" ht="28.5">
      <c r="A29" s="6" t="s">
        <v>201</v>
      </c>
      <c r="B29" s="3" t="s">
        <v>202</v>
      </c>
      <c r="C29" s="3" t="s">
        <v>203</v>
      </c>
      <c r="D29" s="3">
        <v>1</v>
      </c>
      <c r="E29" s="3" t="s">
        <v>204</v>
      </c>
      <c r="F29" s="3" t="s">
        <v>73</v>
      </c>
      <c r="G29" s="3" t="s">
        <v>205</v>
      </c>
      <c r="H29" s="3" t="s">
        <v>75</v>
      </c>
      <c r="I29" s="3">
        <v>1</v>
      </c>
      <c r="J29" s="3">
        <v>2</v>
      </c>
      <c r="K29" s="3" t="s">
        <v>76</v>
      </c>
      <c r="L29" s="3" t="s">
        <v>84</v>
      </c>
      <c r="M29" s="34" t="s">
        <v>753</v>
      </c>
      <c r="N29" s="3" t="s">
        <v>206</v>
      </c>
      <c r="O29" s="3" t="s">
        <v>207</v>
      </c>
      <c r="P29" s="3" t="s">
        <v>208</v>
      </c>
      <c r="Q29" s="3" t="s">
        <v>82</v>
      </c>
      <c r="R29" s="7"/>
    </row>
    <row r="30" spans="1:18" ht="28.5">
      <c r="A30" s="6" t="s">
        <v>209</v>
      </c>
      <c r="B30" s="3" t="s">
        <v>210</v>
      </c>
      <c r="C30" s="3" t="s">
        <v>211</v>
      </c>
      <c r="D30" s="3">
        <v>1</v>
      </c>
      <c r="E30" s="3" t="s">
        <v>204</v>
      </c>
      <c r="F30" s="3" t="s">
        <v>73</v>
      </c>
      <c r="G30" s="3" t="s">
        <v>205</v>
      </c>
      <c r="H30" s="3" t="s">
        <v>75</v>
      </c>
      <c r="I30" s="3">
        <v>1</v>
      </c>
      <c r="J30" s="3">
        <v>2</v>
      </c>
      <c r="K30" s="3" t="s">
        <v>76</v>
      </c>
      <c r="L30" s="3" t="s">
        <v>212</v>
      </c>
      <c r="M30" s="34" t="s">
        <v>754</v>
      </c>
      <c r="N30" s="3" t="s">
        <v>213</v>
      </c>
      <c r="O30" s="3" t="s">
        <v>214</v>
      </c>
      <c r="P30" s="3" t="s">
        <v>215</v>
      </c>
      <c r="Q30" s="3" t="s">
        <v>82</v>
      </c>
      <c r="R30" s="7"/>
    </row>
    <row r="31" spans="1:18">
      <c r="A31" s="6" t="s">
        <v>216</v>
      </c>
      <c r="B31" s="3" t="s">
        <v>202</v>
      </c>
      <c r="C31" s="3" t="s">
        <v>217</v>
      </c>
      <c r="D31" s="3">
        <v>2</v>
      </c>
      <c r="E31" s="3" t="s">
        <v>218</v>
      </c>
      <c r="F31" s="3" t="s">
        <v>91</v>
      </c>
      <c r="G31" s="3" t="s">
        <v>92</v>
      </c>
      <c r="H31" s="3" t="s">
        <v>93</v>
      </c>
      <c r="I31" s="3">
        <v>1</v>
      </c>
      <c r="J31" s="3">
        <v>2</v>
      </c>
      <c r="K31" s="3" t="s">
        <v>76</v>
      </c>
      <c r="L31" s="3" t="s">
        <v>94</v>
      </c>
      <c r="M31" s="3" t="s">
        <v>219</v>
      </c>
      <c r="N31" s="3" t="s">
        <v>220</v>
      </c>
      <c r="O31" s="3" t="s">
        <v>221</v>
      </c>
      <c r="P31" s="3" t="s">
        <v>222</v>
      </c>
      <c r="Q31" s="3" t="s">
        <v>82</v>
      </c>
      <c r="R31" s="7"/>
    </row>
    <row r="32" spans="1:18">
      <c r="A32" s="6" t="s">
        <v>223</v>
      </c>
      <c r="B32" s="3" t="s">
        <v>202</v>
      </c>
      <c r="C32" s="3" t="s">
        <v>224</v>
      </c>
      <c r="D32" s="3">
        <v>3</v>
      </c>
      <c r="E32" s="3" t="s">
        <v>105</v>
      </c>
      <c r="F32" s="3" t="s">
        <v>91</v>
      </c>
      <c r="G32" s="3" t="s">
        <v>225</v>
      </c>
      <c r="H32" s="3" t="s">
        <v>93</v>
      </c>
      <c r="I32" s="3">
        <v>1</v>
      </c>
      <c r="J32" s="3">
        <v>2</v>
      </c>
      <c r="K32" s="3" t="s">
        <v>76</v>
      </c>
      <c r="L32" s="3" t="s">
        <v>94</v>
      </c>
      <c r="M32" s="3" t="s">
        <v>226</v>
      </c>
      <c r="N32" s="3" t="s">
        <v>227</v>
      </c>
      <c r="O32" s="3" t="s">
        <v>228</v>
      </c>
      <c r="P32" s="3" t="s">
        <v>229</v>
      </c>
      <c r="Q32" s="3" t="s">
        <v>82</v>
      </c>
      <c r="R32" s="7"/>
    </row>
    <row r="33" spans="1:18" ht="28.5">
      <c r="A33" s="6" t="s">
        <v>230</v>
      </c>
      <c r="B33" s="3" t="s">
        <v>202</v>
      </c>
      <c r="C33" s="3" t="s">
        <v>231</v>
      </c>
      <c r="D33" s="3">
        <v>4</v>
      </c>
      <c r="E33" s="3" t="s">
        <v>122</v>
      </c>
      <c r="F33" s="3" t="s">
        <v>123</v>
      </c>
      <c r="G33" s="3" t="s">
        <v>225</v>
      </c>
      <c r="H33" s="3" t="s">
        <v>93</v>
      </c>
      <c r="I33" s="3">
        <v>2</v>
      </c>
      <c r="J33" s="3">
        <v>3</v>
      </c>
      <c r="K33" s="3" t="s">
        <v>76</v>
      </c>
      <c r="L33" s="3" t="s">
        <v>94</v>
      </c>
      <c r="M33" s="3" t="s">
        <v>232</v>
      </c>
      <c r="N33" s="3" t="s">
        <v>233</v>
      </c>
      <c r="O33" s="3" t="s">
        <v>234</v>
      </c>
      <c r="P33" s="3" t="s">
        <v>235</v>
      </c>
      <c r="Q33" s="3" t="s">
        <v>82</v>
      </c>
      <c r="R33" s="7"/>
    </row>
    <row r="34" spans="1:18" ht="28.5">
      <c r="A34" s="8" t="s">
        <v>236</v>
      </c>
      <c r="B34" s="12" t="s">
        <v>202</v>
      </c>
      <c r="C34" s="12" t="s">
        <v>237</v>
      </c>
      <c r="D34" s="12">
        <v>5</v>
      </c>
      <c r="E34" s="12" t="s">
        <v>134</v>
      </c>
      <c r="F34" s="12" t="s">
        <v>123</v>
      </c>
      <c r="G34" s="12" t="s">
        <v>92</v>
      </c>
      <c r="H34" s="12" t="s">
        <v>93</v>
      </c>
      <c r="I34" s="12">
        <v>2</v>
      </c>
      <c r="J34" s="12">
        <v>3</v>
      </c>
      <c r="K34" s="12" t="s">
        <v>76</v>
      </c>
      <c r="L34" s="12" t="s">
        <v>94</v>
      </c>
      <c r="M34" s="12" t="s">
        <v>238</v>
      </c>
      <c r="N34" s="12" t="s">
        <v>239</v>
      </c>
      <c r="O34" s="12" t="s">
        <v>240</v>
      </c>
      <c r="P34" s="12" t="s">
        <v>241</v>
      </c>
      <c r="Q34" s="12" t="s">
        <v>82</v>
      </c>
      <c r="R34" s="9"/>
    </row>
  </sheetData>
  <phoneticPr fontId="13" type="noConversion"/>
  <conditionalFormatting sqref="Q2:Q34">
    <cfRule type="expression" dxfId="7" priority="1">
      <formula>Q2="需削弱"</formula>
    </cfRule>
    <cfRule type="expression" dxfId="6" priority="2">
      <formula>Q2="需加强"</formula>
    </cfRule>
    <cfRule type="expression" dxfId="5" priority="3">
      <formula>Q2="机制待改"</formula>
    </cfRule>
  </conditionalFormatting>
  <dataValidations count="1">
    <dataValidation type="list" sqref="Q2:Q34" xr:uid="{00000000-0002-0000-0200-000000000000}">
      <formula1>"待实测,已测试,需削弱,需加强,机制待改"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2"/>
  <sheetViews>
    <sheetView workbookViewId="0"/>
  </sheetViews>
  <sheetFormatPr defaultRowHeight="14.25"/>
  <cols>
    <col min="1" max="1" width="24" customWidth="1"/>
    <col min="2" max="3" width="16" customWidth="1"/>
    <col min="4" max="4" width="7" customWidth="1"/>
    <col min="5" max="5" width="18" customWidth="1"/>
    <col min="6" max="6" width="8" customWidth="1"/>
    <col min="7" max="8" width="7" customWidth="1"/>
    <col min="9" max="12" width="10" customWidth="1"/>
    <col min="13" max="13" width="44" customWidth="1"/>
    <col min="14" max="14" width="52" customWidth="1"/>
    <col min="15" max="15" width="12" customWidth="1"/>
    <col min="16" max="16" width="38" customWidth="1"/>
    <col min="17" max="17" width="12" customWidth="1"/>
    <col min="18" max="18" width="16" customWidth="1"/>
    <col min="19" max="19" width="18" customWidth="1"/>
    <col min="20" max="20" width="12" customWidth="1"/>
  </cols>
  <sheetData>
    <row r="1" spans="1:20" ht="15">
      <c r="A1" s="1" t="s">
        <v>242</v>
      </c>
      <c r="B1" s="10" t="s">
        <v>52</v>
      </c>
      <c r="C1" s="10" t="s">
        <v>243</v>
      </c>
      <c r="D1" s="10" t="s">
        <v>54</v>
      </c>
      <c r="E1" s="10" t="s">
        <v>244</v>
      </c>
      <c r="F1" s="10" t="s">
        <v>245</v>
      </c>
      <c r="G1" s="10" t="s">
        <v>3</v>
      </c>
      <c r="H1" s="10" t="s">
        <v>246</v>
      </c>
      <c r="I1" s="10" t="s">
        <v>247</v>
      </c>
      <c r="J1" s="10" t="s">
        <v>248</v>
      </c>
      <c r="K1" s="10" t="s">
        <v>249</v>
      </c>
      <c r="L1" s="10" t="s">
        <v>250</v>
      </c>
      <c r="M1" s="10" t="s">
        <v>251</v>
      </c>
      <c r="N1" s="10" t="s">
        <v>252</v>
      </c>
      <c r="O1" s="10" t="s">
        <v>253</v>
      </c>
      <c r="P1" s="10" t="s">
        <v>254</v>
      </c>
      <c r="Q1" s="10" t="s">
        <v>255</v>
      </c>
      <c r="R1" s="10" t="s">
        <v>256</v>
      </c>
      <c r="S1" s="10" t="s">
        <v>257</v>
      </c>
      <c r="T1" s="2" t="s">
        <v>258</v>
      </c>
    </row>
    <row r="2" spans="1:20">
      <c r="A2" s="4" t="s">
        <v>259</v>
      </c>
      <c r="B2" s="11" t="s">
        <v>70</v>
      </c>
      <c r="C2" s="11" t="s">
        <v>71</v>
      </c>
      <c r="D2" s="11">
        <v>1</v>
      </c>
      <c r="E2" s="11" t="s">
        <v>260</v>
      </c>
      <c r="F2" s="11" t="s">
        <v>261</v>
      </c>
      <c r="G2" s="11">
        <v>2</v>
      </c>
      <c r="H2" s="11">
        <v>1</v>
      </c>
      <c r="I2" s="11">
        <v>5</v>
      </c>
      <c r="J2" s="11">
        <v>0</v>
      </c>
      <c r="K2" s="11">
        <v>3</v>
      </c>
      <c r="L2" s="11">
        <v>0</v>
      </c>
      <c r="M2" s="11" t="s">
        <v>76</v>
      </c>
      <c r="N2" s="11" t="s">
        <v>262</v>
      </c>
      <c r="O2" s="11">
        <v>2</v>
      </c>
      <c r="P2" s="11" t="s">
        <v>263</v>
      </c>
      <c r="Q2" s="11">
        <f t="shared" ref="Q2:Q42" si="0">I2+J2</f>
        <v>5</v>
      </c>
      <c r="R2" s="11">
        <f t="shared" ref="R2:R42" si="1">I2+J2+K2+L2</f>
        <v>8</v>
      </c>
      <c r="S2" s="11">
        <f t="shared" ref="S2:S42" si="2">I2+J2+2*(K2+L2)</f>
        <v>11</v>
      </c>
      <c r="T2" s="5" t="str">
        <f t="shared" ref="T2:T42" si="3">IF(K2+L2&gt;0,"是","否")</f>
        <v>是</v>
      </c>
    </row>
    <row r="3" spans="1:20">
      <c r="A3" s="6" t="s">
        <v>264</v>
      </c>
      <c r="B3" s="3" t="s">
        <v>70</v>
      </c>
      <c r="C3" s="3" t="s">
        <v>71</v>
      </c>
      <c r="D3" s="3">
        <v>2</v>
      </c>
      <c r="E3" s="3" t="s">
        <v>260</v>
      </c>
      <c r="F3" s="3" t="s">
        <v>261</v>
      </c>
      <c r="G3" s="3">
        <v>2</v>
      </c>
      <c r="H3" s="3">
        <v>1</v>
      </c>
      <c r="I3" s="3">
        <v>5</v>
      </c>
      <c r="J3" s="3">
        <v>0</v>
      </c>
      <c r="K3" s="3">
        <v>3</v>
      </c>
      <c r="L3" s="3">
        <v>0</v>
      </c>
      <c r="M3" s="3" t="s">
        <v>76</v>
      </c>
      <c r="N3" s="3" t="s">
        <v>262</v>
      </c>
      <c r="O3" s="3">
        <v>2</v>
      </c>
      <c r="P3" s="3" t="s">
        <v>263</v>
      </c>
      <c r="Q3" s="3">
        <f t="shared" si="0"/>
        <v>5</v>
      </c>
      <c r="R3" s="3">
        <f t="shared" si="1"/>
        <v>8</v>
      </c>
      <c r="S3" s="3">
        <f t="shared" si="2"/>
        <v>11</v>
      </c>
      <c r="T3" s="7" t="str">
        <f t="shared" si="3"/>
        <v>是</v>
      </c>
    </row>
    <row r="4" spans="1:20">
      <c r="A4" s="6" t="s">
        <v>265</v>
      </c>
      <c r="B4" s="3" t="s">
        <v>88</v>
      </c>
      <c r="C4" s="3" t="s">
        <v>89</v>
      </c>
      <c r="D4" s="3">
        <v>2</v>
      </c>
      <c r="E4" s="3" t="s">
        <v>266</v>
      </c>
      <c r="F4" s="3" t="s">
        <v>267</v>
      </c>
      <c r="G4" s="3">
        <v>1</v>
      </c>
      <c r="H4" s="3">
        <v>1</v>
      </c>
      <c r="I4" s="3">
        <v>0</v>
      </c>
      <c r="J4" s="3">
        <v>5</v>
      </c>
      <c r="K4" s="3">
        <v>0</v>
      </c>
      <c r="L4" s="3">
        <v>2</v>
      </c>
      <c r="M4" s="3" t="s">
        <v>268</v>
      </c>
      <c r="N4" s="3" t="s">
        <v>269</v>
      </c>
      <c r="O4" s="3">
        <v>2</v>
      </c>
      <c r="P4" s="3" t="s">
        <v>270</v>
      </c>
      <c r="Q4" s="3">
        <f t="shared" si="0"/>
        <v>5</v>
      </c>
      <c r="R4" s="3">
        <f t="shared" si="1"/>
        <v>7</v>
      </c>
      <c r="S4" s="3">
        <f t="shared" si="2"/>
        <v>9</v>
      </c>
      <c r="T4" s="7" t="str">
        <f t="shared" si="3"/>
        <v>是</v>
      </c>
    </row>
    <row r="5" spans="1:20">
      <c r="A5" s="6" t="s">
        <v>271</v>
      </c>
      <c r="B5" s="3" t="s">
        <v>88</v>
      </c>
      <c r="C5" s="3" t="s">
        <v>89</v>
      </c>
      <c r="D5" s="3">
        <v>3</v>
      </c>
      <c r="E5" s="3" t="s">
        <v>266</v>
      </c>
      <c r="F5" s="3" t="s">
        <v>267</v>
      </c>
      <c r="G5" s="3">
        <v>1</v>
      </c>
      <c r="H5" s="3">
        <v>1</v>
      </c>
      <c r="I5" s="3">
        <v>0</v>
      </c>
      <c r="J5" s="3">
        <v>5</v>
      </c>
      <c r="K5" s="3">
        <v>0</v>
      </c>
      <c r="L5" s="3">
        <v>2</v>
      </c>
      <c r="M5" s="3" t="s">
        <v>268</v>
      </c>
      <c r="N5" s="3" t="s">
        <v>272</v>
      </c>
      <c r="O5" s="3">
        <v>2</v>
      </c>
      <c r="P5" s="3" t="s">
        <v>270</v>
      </c>
      <c r="Q5" s="3">
        <f t="shared" si="0"/>
        <v>5</v>
      </c>
      <c r="R5" s="3">
        <f t="shared" si="1"/>
        <v>7</v>
      </c>
      <c r="S5" s="3">
        <f t="shared" si="2"/>
        <v>9</v>
      </c>
      <c r="T5" s="7" t="str">
        <f t="shared" si="3"/>
        <v>是</v>
      </c>
    </row>
    <row r="6" spans="1:20">
      <c r="A6" s="6" t="s">
        <v>273</v>
      </c>
      <c r="B6" s="3" t="s">
        <v>88</v>
      </c>
      <c r="C6" s="3" t="s">
        <v>89</v>
      </c>
      <c r="D6" s="3">
        <v>4</v>
      </c>
      <c r="E6" s="3" t="s">
        <v>266</v>
      </c>
      <c r="F6" s="3" t="s">
        <v>267</v>
      </c>
      <c r="G6" s="3">
        <v>1</v>
      </c>
      <c r="H6" s="3">
        <v>1</v>
      </c>
      <c r="I6" s="3">
        <v>0</v>
      </c>
      <c r="J6" s="3">
        <v>5</v>
      </c>
      <c r="K6" s="3">
        <v>0</v>
      </c>
      <c r="L6" s="3">
        <v>2</v>
      </c>
      <c r="M6" s="3" t="s">
        <v>268</v>
      </c>
      <c r="N6" s="3" t="s">
        <v>274</v>
      </c>
      <c r="O6" s="3">
        <v>2</v>
      </c>
      <c r="P6" s="3" t="s">
        <v>270</v>
      </c>
      <c r="Q6" s="3">
        <f t="shared" si="0"/>
        <v>5</v>
      </c>
      <c r="R6" s="3">
        <f t="shared" si="1"/>
        <v>7</v>
      </c>
      <c r="S6" s="3">
        <f t="shared" si="2"/>
        <v>9</v>
      </c>
      <c r="T6" s="7" t="str">
        <f t="shared" si="3"/>
        <v>是</v>
      </c>
    </row>
    <row r="7" spans="1:20">
      <c r="A7" s="6" t="s">
        <v>275</v>
      </c>
      <c r="B7" s="3" t="s">
        <v>70</v>
      </c>
      <c r="C7" s="3" t="s">
        <v>104</v>
      </c>
      <c r="D7" s="3">
        <v>3</v>
      </c>
      <c r="E7" s="3" t="s">
        <v>276</v>
      </c>
      <c r="F7" s="3" t="s">
        <v>267</v>
      </c>
      <c r="G7" s="3">
        <v>2</v>
      </c>
      <c r="H7" s="3">
        <v>1</v>
      </c>
      <c r="I7" s="3">
        <v>0</v>
      </c>
      <c r="J7" s="3">
        <v>5</v>
      </c>
      <c r="K7" s="3">
        <v>0</v>
      </c>
      <c r="L7" s="3">
        <v>0</v>
      </c>
      <c r="M7" s="3" t="s">
        <v>277</v>
      </c>
      <c r="N7" s="3" t="s">
        <v>278</v>
      </c>
      <c r="O7" s="3">
        <v>1</v>
      </c>
      <c r="P7" s="3" t="s">
        <v>279</v>
      </c>
      <c r="Q7" s="3">
        <f t="shared" si="0"/>
        <v>5</v>
      </c>
      <c r="R7" s="3">
        <f t="shared" si="1"/>
        <v>5</v>
      </c>
      <c r="S7" s="3">
        <f t="shared" si="2"/>
        <v>5</v>
      </c>
      <c r="T7" s="7" t="str">
        <f t="shared" si="3"/>
        <v>否</v>
      </c>
    </row>
    <row r="8" spans="1:20" ht="42.75">
      <c r="A8" s="6" t="s">
        <v>280</v>
      </c>
      <c r="B8" s="3" t="s">
        <v>88</v>
      </c>
      <c r="C8" s="3" t="s">
        <v>111</v>
      </c>
      <c r="D8" s="3">
        <v>1</v>
      </c>
      <c r="E8" s="3" t="s">
        <v>281</v>
      </c>
      <c r="F8" s="3" t="s">
        <v>267</v>
      </c>
      <c r="G8" s="3">
        <v>1</v>
      </c>
      <c r="H8" s="3">
        <v>1</v>
      </c>
      <c r="I8" s="3">
        <v>0</v>
      </c>
      <c r="J8" s="3">
        <v>4</v>
      </c>
      <c r="K8" s="3">
        <v>0</v>
      </c>
      <c r="L8" s="3">
        <v>0</v>
      </c>
      <c r="M8" s="3" t="s">
        <v>282</v>
      </c>
      <c r="N8" s="3" t="s">
        <v>283</v>
      </c>
      <c r="O8" s="3">
        <v>2</v>
      </c>
      <c r="P8" s="3" t="s">
        <v>284</v>
      </c>
      <c r="Q8" s="3">
        <f t="shared" si="0"/>
        <v>4</v>
      </c>
      <c r="R8" s="3">
        <f t="shared" si="1"/>
        <v>4</v>
      </c>
      <c r="S8" s="3">
        <f t="shared" si="2"/>
        <v>4</v>
      </c>
      <c r="T8" s="7" t="str">
        <f t="shared" si="3"/>
        <v>否</v>
      </c>
    </row>
    <row r="9" spans="1:20" ht="42.75">
      <c r="A9" s="6" t="s">
        <v>285</v>
      </c>
      <c r="B9" s="3" t="s">
        <v>88</v>
      </c>
      <c r="C9" s="3" t="s">
        <v>111</v>
      </c>
      <c r="D9" s="3">
        <v>2</v>
      </c>
      <c r="E9" s="3" t="s">
        <v>281</v>
      </c>
      <c r="F9" s="3" t="s">
        <v>267</v>
      </c>
      <c r="G9" s="3">
        <v>1</v>
      </c>
      <c r="H9" s="3">
        <v>1</v>
      </c>
      <c r="I9" s="3">
        <v>0</v>
      </c>
      <c r="J9" s="3">
        <v>4</v>
      </c>
      <c r="K9" s="3">
        <v>0</v>
      </c>
      <c r="L9" s="3">
        <v>0</v>
      </c>
      <c r="M9" s="3" t="s">
        <v>282</v>
      </c>
      <c r="N9" s="3" t="s">
        <v>286</v>
      </c>
      <c r="O9" s="3">
        <v>2</v>
      </c>
      <c r="P9" s="3" t="s">
        <v>284</v>
      </c>
      <c r="Q9" s="3">
        <f t="shared" si="0"/>
        <v>4</v>
      </c>
      <c r="R9" s="3">
        <f t="shared" si="1"/>
        <v>4</v>
      </c>
      <c r="S9" s="3">
        <f t="shared" si="2"/>
        <v>4</v>
      </c>
      <c r="T9" s="7" t="str">
        <f t="shared" si="3"/>
        <v>否</v>
      </c>
    </row>
    <row r="10" spans="1:20" ht="42.75">
      <c r="A10" s="6" t="s">
        <v>287</v>
      </c>
      <c r="B10" s="3" t="s">
        <v>88</v>
      </c>
      <c r="C10" s="3" t="s">
        <v>111</v>
      </c>
      <c r="D10" s="3">
        <v>3</v>
      </c>
      <c r="E10" s="3" t="s">
        <v>281</v>
      </c>
      <c r="F10" s="3" t="s">
        <v>267</v>
      </c>
      <c r="G10" s="3">
        <v>1</v>
      </c>
      <c r="H10" s="3">
        <v>1</v>
      </c>
      <c r="I10" s="3">
        <v>0</v>
      </c>
      <c r="J10" s="3">
        <v>4</v>
      </c>
      <c r="K10" s="3">
        <v>0</v>
      </c>
      <c r="L10" s="3">
        <v>0</v>
      </c>
      <c r="M10" s="3" t="s">
        <v>282</v>
      </c>
      <c r="N10" s="3" t="s">
        <v>288</v>
      </c>
      <c r="O10" s="3">
        <v>2</v>
      </c>
      <c r="P10" s="3" t="s">
        <v>284</v>
      </c>
      <c r="Q10" s="3">
        <f t="shared" si="0"/>
        <v>4</v>
      </c>
      <c r="R10" s="3">
        <f t="shared" si="1"/>
        <v>4</v>
      </c>
      <c r="S10" s="3">
        <f t="shared" si="2"/>
        <v>4</v>
      </c>
      <c r="T10" s="7" t="str">
        <f t="shared" si="3"/>
        <v>否</v>
      </c>
    </row>
    <row r="11" spans="1:20" ht="28.5">
      <c r="A11" s="6" t="s">
        <v>289</v>
      </c>
      <c r="B11" s="3" t="s">
        <v>70</v>
      </c>
      <c r="C11" s="3" t="s">
        <v>31</v>
      </c>
      <c r="D11" s="3">
        <v>4</v>
      </c>
      <c r="E11" s="3" t="s">
        <v>290</v>
      </c>
      <c r="F11" s="3" t="s">
        <v>267</v>
      </c>
      <c r="G11" s="3">
        <v>1</v>
      </c>
      <c r="H11" s="3">
        <v>1</v>
      </c>
      <c r="I11" s="3">
        <v>0</v>
      </c>
      <c r="J11" s="3">
        <v>6</v>
      </c>
      <c r="K11" s="3">
        <v>0</v>
      </c>
      <c r="L11" s="3">
        <v>0</v>
      </c>
      <c r="M11" s="3" t="s">
        <v>291</v>
      </c>
      <c r="N11" s="3" t="s">
        <v>292</v>
      </c>
      <c r="O11" s="3">
        <v>2</v>
      </c>
      <c r="P11" s="3" t="s">
        <v>293</v>
      </c>
      <c r="Q11" s="3">
        <f t="shared" si="0"/>
        <v>6</v>
      </c>
      <c r="R11" s="3">
        <f t="shared" si="1"/>
        <v>6</v>
      </c>
      <c r="S11" s="3">
        <f t="shared" si="2"/>
        <v>6</v>
      </c>
      <c r="T11" s="7" t="str">
        <f t="shared" si="3"/>
        <v>否</v>
      </c>
    </row>
    <row r="12" spans="1:20">
      <c r="A12" s="6" t="s">
        <v>294</v>
      </c>
      <c r="B12" s="3" t="s">
        <v>88</v>
      </c>
      <c r="C12" s="3" t="s">
        <v>35</v>
      </c>
      <c r="D12" s="3">
        <v>4</v>
      </c>
      <c r="E12" s="3" t="s">
        <v>295</v>
      </c>
      <c r="F12" s="3" t="s">
        <v>261</v>
      </c>
      <c r="G12" s="3">
        <v>1</v>
      </c>
      <c r="H12" s="3">
        <v>1</v>
      </c>
      <c r="I12" s="3">
        <v>6</v>
      </c>
      <c r="J12" s="3">
        <v>0</v>
      </c>
      <c r="K12" s="3">
        <v>0</v>
      </c>
      <c r="L12" s="3">
        <v>0</v>
      </c>
      <c r="M12" s="3" t="s">
        <v>296</v>
      </c>
      <c r="N12" s="3" t="s">
        <v>297</v>
      </c>
      <c r="O12" s="3">
        <v>2</v>
      </c>
      <c r="P12" s="3" t="s">
        <v>298</v>
      </c>
      <c r="Q12" s="3">
        <f t="shared" si="0"/>
        <v>6</v>
      </c>
      <c r="R12" s="3">
        <f t="shared" si="1"/>
        <v>6</v>
      </c>
      <c r="S12" s="3">
        <f t="shared" si="2"/>
        <v>6</v>
      </c>
      <c r="T12" s="7" t="str">
        <f t="shared" si="3"/>
        <v>否</v>
      </c>
    </row>
    <row r="13" spans="1:20" ht="28.5">
      <c r="A13" s="6" t="s">
        <v>299</v>
      </c>
      <c r="B13" s="3" t="s">
        <v>70</v>
      </c>
      <c r="C13" s="3" t="s">
        <v>39</v>
      </c>
      <c r="D13" s="3">
        <v>5</v>
      </c>
      <c r="E13" s="3" t="s">
        <v>300</v>
      </c>
      <c r="F13" s="3" t="s">
        <v>261</v>
      </c>
      <c r="G13" s="3">
        <v>1</v>
      </c>
      <c r="H13" s="3">
        <v>1</v>
      </c>
      <c r="I13" s="3">
        <v>8</v>
      </c>
      <c r="J13" s="3">
        <v>0</v>
      </c>
      <c r="K13" s="3">
        <v>6</v>
      </c>
      <c r="L13" s="3">
        <v>0</v>
      </c>
      <c r="M13" s="3" t="s">
        <v>76</v>
      </c>
      <c r="N13" s="3" t="s">
        <v>301</v>
      </c>
      <c r="O13" s="3">
        <v>1</v>
      </c>
      <c r="P13" s="3" t="s">
        <v>302</v>
      </c>
      <c r="Q13" s="3">
        <f t="shared" si="0"/>
        <v>8</v>
      </c>
      <c r="R13" s="3">
        <f t="shared" si="1"/>
        <v>14</v>
      </c>
      <c r="S13" s="3">
        <f t="shared" si="2"/>
        <v>20</v>
      </c>
      <c r="T13" s="7" t="str">
        <f t="shared" si="3"/>
        <v>是</v>
      </c>
    </row>
    <row r="14" spans="1:20" ht="28.5">
      <c r="A14" s="6" t="s">
        <v>303</v>
      </c>
      <c r="B14" s="3" t="s">
        <v>140</v>
      </c>
      <c r="C14" s="3" t="s">
        <v>43</v>
      </c>
      <c r="D14" s="3">
        <v>6</v>
      </c>
      <c r="E14" s="3" t="s">
        <v>304</v>
      </c>
      <c r="F14" s="3" t="s">
        <v>261</v>
      </c>
      <c r="G14" s="3">
        <v>1</v>
      </c>
      <c r="H14" s="3">
        <v>1</v>
      </c>
      <c r="I14" s="3">
        <v>8</v>
      </c>
      <c r="J14" s="3">
        <v>0</v>
      </c>
      <c r="K14" s="3">
        <v>5</v>
      </c>
      <c r="L14" s="3">
        <v>0</v>
      </c>
      <c r="M14" s="3" t="s">
        <v>76</v>
      </c>
      <c r="N14" s="3" t="s">
        <v>305</v>
      </c>
      <c r="O14" s="3">
        <v>1</v>
      </c>
      <c r="P14" s="3" t="s">
        <v>306</v>
      </c>
      <c r="Q14" s="3">
        <f t="shared" si="0"/>
        <v>8</v>
      </c>
      <c r="R14" s="3">
        <f t="shared" si="1"/>
        <v>13</v>
      </c>
      <c r="S14" s="3">
        <f t="shared" si="2"/>
        <v>18</v>
      </c>
      <c r="T14" s="7" t="str">
        <f t="shared" si="3"/>
        <v>是</v>
      </c>
    </row>
    <row r="15" spans="1:20" ht="28.5">
      <c r="A15" s="6" t="s">
        <v>307</v>
      </c>
      <c r="B15" s="3" t="s">
        <v>140</v>
      </c>
      <c r="C15" s="3" t="s">
        <v>43</v>
      </c>
      <c r="D15" s="3">
        <v>6</v>
      </c>
      <c r="E15" s="3" t="s">
        <v>308</v>
      </c>
      <c r="F15" s="3" t="s">
        <v>267</v>
      </c>
      <c r="G15" s="3">
        <v>1</v>
      </c>
      <c r="H15" s="3">
        <v>1</v>
      </c>
      <c r="I15" s="3">
        <v>0</v>
      </c>
      <c r="J15" s="3">
        <v>8</v>
      </c>
      <c r="K15" s="3">
        <v>0</v>
      </c>
      <c r="L15" s="3">
        <v>5</v>
      </c>
      <c r="M15" s="3" t="s">
        <v>76</v>
      </c>
      <c r="N15" s="3" t="s">
        <v>305</v>
      </c>
      <c r="O15" s="3">
        <v>1</v>
      </c>
      <c r="P15" s="3" t="s">
        <v>309</v>
      </c>
      <c r="Q15" s="3">
        <f t="shared" si="0"/>
        <v>8</v>
      </c>
      <c r="R15" s="3">
        <f t="shared" si="1"/>
        <v>13</v>
      </c>
      <c r="S15" s="3">
        <f t="shared" si="2"/>
        <v>18</v>
      </c>
      <c r="T15" s="7" t="str">
        <f t="shared" si="3"/>
        <v>是</v>
      </c>
    </row>
    <row r="16" spans="1:20" ht="28.5">
      <c r="A16" s="6" t="s">
        <v>310</v>
      </c>
      <c r="B16" s="3" t="s">
        <v>140</v>
      </c>
      <c r="C16" s="3" t="s">
        <v>43</v>
      </c>
      <c r="D16" s="3">
        <v>7</v>
      </c>
      <c r="E16" s="3" t="s">
        <v>304</v>
      </c>
      <c r="F16" s="3" t="s">
        <v>261</v>
      </c>
      <c r="G16" s="3">
        <v>1</v>
      </c>
      <c r="H16" s="3">
        <v>1</v>
      </c>
      <c r="I16" s="3">
        <v>9</v>
      </c>
      <c r="J16" s="3">
        <v>0</v>
      </c>
      <c r="K16" s="3">
        <v>6</v>
      </c>
      <c r="L16" s="3">
        <v>0</v>
      </c>
      <c r="M16" s="3" t="s">
        <v>76</v>
      </c>
      <c r="N16" s="3" t="s">
        <v>311</v>
      </c>
      <c r="O16" s="3">
        <v>2</v>
      </c>
      <c r="P16" s="3" t="s">
        <v>306</v>
      </c>
      <c r="Q16" s="3">
        <f t="shared" si="0"/>
        <v>9</v>
      </c>
      <c r="R16" s="3">
        <f t="shared" si="1"/>
        <v>15</v>
      </c>
      <c r="S16" s="3">
        <f t="shared" si="2"/>
        <v>21</v>
      </c>
      <c r="T16" s="7" t="str">
        <f t="shared" si="3"/>
        <v>是</v>
      </c>
    </row>
    <row r="17" spans="1:20" ht="28.5">
      <c r="A17" s="6" t="s">
        <v>312</v>
      </c>
      <c r="B17" s="3" t="s">
        <v>140</v>
      </c>
      <c r="C17" s="3" t="s">
        <v>43</v>
      </c>
      <c r="D17" s="3">
        <v>7</v>
      </c>
      <c r="E17" s="3" t="s">
        <v>308</v>
      </c>
      <c r="F17" s="3" t="s">
        <v>267</v>
      </c>
      <c r="G17" s="3">
        <v>1</v>
      </c>
      <c r="H17" s="3">
        <v>1</v>
      </c>
      <c r="I17" s="3">
        <v>0</v>
      </c>
      <c r="J17" s="3">
        <v>9</v>
      </c>
      <c r="K17" s="3">
        <v>0</v>
      </c>
      <c r="L17" s="3">
        <v>6</v>
      </c>
      <c r="M17" s="3" t="s">
        <v>76</v>
      </c>
      <c r="N17" s="3" t="s">
        <v>311</v>
      </c>
      <c r="O17" s="3">
        <v>2</v>
      </c>
      <c r="P17" s="3" t="s">
        <v>309</v>
      </c>
      <c r="Q17" s="3">
        <f t="shared" si="0"/>
        <v>9</v>
      </c>
      <c r="R17" s="3">
        <f t="shared" si="1"/>
        <v>15</v>
      </c>
      <c r="S17" s="3">
        <f t="shared" si="2"/>
        <v>21</v>
      </c>
      <c r="T17" s="7" t="str">
        <f t="shared" si="3"/>
        <v>是</v>
      </c>
    </row>
    <row r="18" spans="1:20" ht="28.5">
      <c r="A18" s="6" t="s">
        <v>313</v>
      </c>
      <c r="B18" s="3" t="s">
        <v>140</v>
      </c>
      <c r="C18" s="3" t="s">
        <v>43</v>
      </c>
      <c r="D18" s="3">
        <v>8</v>
      </c>
      <c r="E18" s="3" t="s">
        <v>304</v>
      </c>
      <c r="F18" s="3" t="s">
        <v>261</v>
      </c>
      <c r="G18" s="3">
        <v>1</v>
      </c>
      <c r="H18" s="3">
        <v>1</v>
      </c>
      <c r="I18" s="3">
        <v>10</v>
      </c>
      <c r="J18" s="3">
        <v>0</v>
      </c>
      <c r="K18" s="3">
        <v>7</v>
      </c>
      <c r="L18" s="3">
        <v>0</v>
      </c>
      <c r="M18" s="3" t="s">
        <v>76</v>
      </c>
      <c r="N18" s="3" t="s">
        <v>314</v>
      </c>
      <c r="O18" s="3">
        <v>3</v>
      </c>
      <c r="P18" s="3" t="s">
        <v>306</v>
      </c>
      <c r="Q18" s="3">
        <f t="shared" si="0"/>
        <v>10</v>
      </c>
      <c r="R18" s="3">
        <f t="shared" si="1"/>
        <v>17</v>
      </c>
      <c r="S18" s="3">
        <f t="shared" si="2"/>
        <v>24</v>
      </c>
      <c r="T18" s="7" t="str">
        <f t="shared" si="3"/>
        <v>是</v>
      </c>
    </row>
    <row r="19" spans="1:20" ht="28.5">
      <c r="A19" s="6" t="s">
        <v>315</v>
      </c>
      <c r="B19" s="3" t="s">
        <v>140</v>
      </c>
      <c r="C19" s="3" t="s">
        <v>43</v>
      </c>
      <c r="D19" s="3">
        <v>8</v>
      </c>
      <c r="E19" s="3" t="s">
        <v>308</v>
      </c>
      <c r="F19" s="3" t="s">
        <v>267</v>
      </c>
      <c r="G19" s="3">
        <v>1</v>
      </c>
      <c r="H19" s="3">
        <v>1</v>
      </c>
      <c r="I19" s="3">
        <v>0</v>
      </c>
      <c r="J19" s="3">
        <v>10</v>
      </c>
      <c r="K19" s="3">
        <v>0</v>
      </c>
      <c r="L19" s="3">
        <v>7</v>
      </c>
      <c r="M19" s="3" t="s">
        <v>76</v>
      </c>
      <c r="N19" s="3" t="s">
        <v>314</v>
      </c>
      <c r="O19" s="3">
        <v>3</v>
      </c>
      <c r="P19" s="3" t="s">
        <v>309</v>
      </c>
      <c r="Q19" s="3">
        <f t="shared" si="0"/>
        <v>10</v>
      </c>
      <c r="R19" s="3">
        <f t="shared" si="1"/>
        <v>17</v>
      </c>
      <c r="S19" s="3">
        <f t="shared" si="2"/>
        <v>24</v>
      </c>
      <c r="T19" s="7" t="str">
        <f t="shared" si="3"/>
        <v>是</v>
      </c>
    </row>
    <row r="20" spans="1:20">
      <c r="A20" s="6" t="s">
        <v>316</v>
      </c>
      <c r="B20" s="3" t="s">
        <v>140</v>
      </c>
      <c r="C20" s="3" t="s">
        <v>153</v>
      </c>
      <c r="D20" s="3">
        <v>9</v>
      </c>
      <c r="E20" s="3" t="s">
        <v>317</v>
      </c>
      <c r="F20" s="3" t="s">
        <v>261</v>
      </c>
      <c r="G20" s="3">
        <v>1</v>
      </c>
      <c r="H20" s="3">
        <v>1</v>
      </c>
      <c r="I20" s="3">
        <v>9</v>
      </c>
      <c r="J20" s="3">
        <v>0</v>
      </c>
      <c r="K20" s="3">
        <v>7</v>
      </c>
      <c r="L20" s="3">
        <v>0</v>
      </c>
      <c r="M20" s="3" t="s">
        <v>318</v>
      </c>
      <c r="N20" s="3" t="s">
        <v>319</v>
      </c>
      <c r="O20" s="3" t="s">
        <v>76</v>
      </c>
      <c r="P20" s="3" t="s">
        <v>320</v>
      </c>
      <c r="Q20" s="3">
        <f t="shared" si="0"/>
        <v>9</v>
      </c>
      <c r="R20" s="3">
        <f t="shared" si="1"/>
        <v>16</v>
      </c>
      <c r="S20" s="3">
        <f t="shared" si="2"/>
        <v>23</v>
      </c>
      <c r="T20" s="7" t="str">
        <f t="shared" si="3"/>
        <v>是</v>
      </c>
    </row>
    <row r="21" spans="1:20" ht="28.5">
      <c r="A21" s="6" t="s">
        <v>321</v>
      </c>
      <c r="B21" s="3" t="s">
        <v>140</v>
      </c>
      <c r="C21" s="3" t="s">
        <v>153</v>
      </c>
      <c r="D21" s="3">
        <v>9</v>
      </c>
      <c r="E21" s="3" t="s">
        <v>322</v>
      </c>
      <c r="F21" s="3" t="s">
        <v>267</v>
      </c>
      <c r="G21" s="3">
        <v>1</v>
      </c>
      <c r="H21" s="3">
        <v>1</v>
      </c>
      <c r="I21" s="3">
        <v>0</v>
      </c>
      <c r="J21" s="3">
        <v>9</v>
      </c>
      <c r="K21" s="3">
        <v>0</v>
      </c>
      <c r="L21" s="3">
        <v>7</v>
      </c>
      <c r="M21" s="3" t="s">
        <v>323</v>
      </c>
      <c r="N21" s="3" t="s">
        <v>319</v>
      </c>
      <c r="O21" s="3" t="s">
        <v>76</v>
      </c>
      <c r="P21" s="3" t="s">
        <v>324</v>
      </c>
      <c r="Q21" s="3">
        <f t="shared" si="0"/>
        <v>9</v>
      </c>
      <c r="R21" s="3">
        <f t="shared" si="1"/>
        <v>16</v>
      </c>
      <c r="S21" s="3">
        <f t="shared" si="2"/>
        <v>23</v>
      </c>
      <c r="T21" s="7" t="str">
        <f t="shared" si="3"/>
        <v>是</v>
      </c>
    </row>
    <row r="22" spans="1:20">
      <c r="A22" s="6" t="s">
        <v>325</v>
      </c>
      <c r="B22" s="3" t="s">
        <v>163</v>
      </c>
      <c r="C22" s="3" t="s">
        <v>164</v>
      </c>
      <c r="D22" s="3">
        <v>1</v>
      </c>
      <c r="E22" s="3" t="s">
        <v>326</v>
      </c>
      <c r="F22" s="3" t="s">
        <v>261</v>
      </c>
      <c r="G22" s="3">
        <v>2</v>
      </c>
      <c r="H22" s="3">
        <v>1</v>
      </c>
      <c r="I22" s="3">
        <v>5</v>
      </c>
      <c r="J22" s="3">
        <v>0</v>
      </c>
      <c r="K22" s="3">
        <v>2</v>
      </c>
      <c r="L22" s="3">
        <v>0</v>
      </c>
      <c r="M22" s="3" t="s">
        <v>76</v>
      </c>
      <c r="N22" s="3" t="s">
        <v>327</v>
      </c>
      <c r="O22" s="3">
        <v>1</v>
      </c>
      <c r="P22" s="3" t="s">
        <v>328</v>
      </c>
      <c r="Q22" s="3">
        <f t="shared" si="0"/>
        <v>5</v>
      </c>
      <c r="R22" s="3">
        <f t="shared" si="1"/>
        <v>7</v>
      </c>
      <c r="S22" s="3">
        <f t="shared" si="2"/>
        <v>9</v>
      </c>
      <c r="T22" s="7" t="str">
        <f t="shared" si="3"/>
        <v>是</v>
      </c>
    </row>
    <row r="23" spans="1:20">
      <c r="A23" s="6" t="s">
        <v>329</v>
      </c>
      <c r="B23" s="3" t="s">
        <v>163</v>
      </c>
      <c r="C23" s="3" t="s">
        <v>164</v>
      </c>
      <c r="D23" s="3">
        <v>2</v>
      </c>
      <c r="E23" s="3" t="s">
        <v>326</v>
      </c>
      <c r="F23" s="3" t="s">
        <v>261</v>
      </c>
      <c r="G23" s="3">
        <v>2</v>
      </c>
      <c r="H23" s="3">
        <v>1</v>
      </c>
      <c r="I23" s="3">
        <v>5</v>
      </c>
      <c r="J23" s="3">
        <v>0</v>
      </c>
      <c r="K23" s="3">
        <v>2</v>
      </c>
      <c r="L23" s="3">
        <v>0</v>
      </c>
      <c r="M23" s="3" t="s">
        <v>76</v>
      </c>
      <c r="N23" s="3" t="s">
        <v>330</v>
      </c>
      <c r="O23" s="3">
        <v>1</v>
      </c>
      <c r="P23" s="3" t="s">
        <v>328</v>
      </c>
      <c r="Q23" s="3">
        <f t="shared" si="0"/>
        <v>5</v>
      </c>
      <c r="R23" s="3">
        <f t="shared" si="1"/>
        <v>7</v>
      </c>
      <c r="S23" s="3">
        <f t="shared" si="2"/>
        <v>9</v>
      </c>
      <c r="T23" s="7" t="str">
        <f t="shared" si="3"/>
        <v>是</v>
      </c>
    </row>
    <row r="24" spans="1:20">
      <c r="A24" s="6" t="s">
        <v>331</v>
      </c>
      <c r="B24" s="3" t="s">
        <v>163</v>
      </c>
      <c r="C24" s="3" t="s">
        <v>164</v>
      </c>
      <c r="D24" s="3">
        <v>3</v>
      </c>
      <c r="E24" s="3" t="s">
        <v>326</v>
      </c>
      <c r="F24" s="3" t="s">
        <v>261</v>
      </c>
      <c r="G24" s="3">
        <v>2</v>
      </c>
      <c r="H24" s="3">
        <v>1</v>
      </c>
      <c r="I24" s="3">
        <v>5</v>
      </c>
      <c r="J24" s="3">
        <v>0</v>
      </c>
      <c r="K24" s="3">
        <v>2</v>
      </c>
      <c r="L24" s="3">
        <v>0</v>
      </c>
      <c r="M24" s="3" t="s">
        <v>76</v>
      </c>
      <c r="N24" s="3" t="s">
        <v>332</v>
      </c>
      <c r="O24" s="3">
        <v>1</v>
      </c>
      <c r="P24" s="3" t="s">
        <v>328</v>
      </c>
      <c r="Q24" s="3">
        <f t="shared" si="0"/>
        <v>5</v>
      </c>
      <c r="R24" s="3">
        <f t="shared" si="1"/>
        <v>7</v>
      </c>
      <c r="S24" s="3">
        <f t="shared" si="2"/>
        <v>9</v>
      </c>
      <c r="T24" s="7" t="str">
        <f t="shared" si="3"/>
        <v>是</v>
      </c>
    </row>
    <row r="25" spans="1:20">
      <c r="A25" s="6" t="s">
        <v>333</v>
      </c>
      <c r="B25" s="3" t="s">
        <v>163</v>
      </c>
      <c r="C25" s="3" t="s">
        <v>175</v>
      </c>
      <c r="D25" s="3">
        <v>1</v>
      </c>
      <c r="E25" s="3" t="s">
        <v>334</v>
      </c>
      <c r="F25" s="3" t="s">
        <v>267</v>
      </c>
      <c r="G25" s="3">
        <v>2</v>
      </c>
      <c r="H25" s="3">
        <v>1</v>
      </c>
      <c r="I25" s="3">
        <v>0</v>
      </c>
      <c r="J25" s="3">
        <v>5</v>
      </c>
      <c r="K25" s="3">
        <v>0</v>
      </c>
      <c r="L25" s="3">
        <v>3</v>
      </c>
      <c r="M25" s="3" t="s">
        <v>76</v>
      </c>
      <c r="N25" s="3" t="s">
        <v>335</v>
      </c>
      <c r="O25" s="3">
        <v>1</v>
      </c>
      <c r="P25" s="3" t="s">
        <v>336</v>
      </c>
      <c r="Q25" s="3">
        <f t="shared" si="0"/>
        <v>5</v>
      </c>
      <c r="R25" s="3">
        <f t="shared" si="1"/>
        <v>8</v>
      </c>
      <c r="S25" s="3">
        <f t="shared" si="2"/>
        <v>11</v>
      </c>
      <c r="T25" s="7" t="str">
        <f t="shared" si="3"/>
        <v>是</v>
      </c>
    </row>
    <row r="26" spans="1:20">
      <c r="A26" s="6" t="s">
        <v>337</v>
      </c>
      <c r="B26" s="3" t="s">
        <v>163</v>
      </c>
      <c r="C26" s="3" t="s">
        <v>175</v>
      </c>
      <c r="D26" s="3">
        <v>2</v>
      </c>
      <c r="E26" s="3" t="s">
        <v>334</v>
      </c>
      <c r="F26" s="3" t="s">
        <v>267</v>
      </c>
      <c r="G26" s="3">
        <v>2</v>
      </c>
      <c r="H26" s="3">
        <v>1</v>
      </c>
      <c r="I26" s="3">
        <v>0</v>
      </c>
      <c r="J26" s="3">
        <v>5</v>
      </c>
      <c r="K26" s="3">
        <v>0</v>
      </c>
      <c r="L26" s="3">
        <v>3</v>
      </c>
      <c r="M26" s="3" t="s">
        <v>76</v>
      </c>
      <c r="N26" s="3" t="s">
        <v>338</v>
      </c>
      <c r="O26" s="3">
        <v>1</v>
      </c>
      <c r="P26" s="3" t="s">
        <v>336</v>
      </c>
      <c r="Q26" s="3">
        <f t="shared" si="0"/>
        <v>5</v>
      </c>
      <c r="R26" s="3">
        <f t="shared" si="1"/>
        <v>8</v>
      </c>
      <c r="S26" s="3">
        <f t="shared" si="2"/>
        <v>11</v>
      </c>
      <c r="T26" s="7" t="str">
        <f t="shared" si="3"/>
        <v>是</v>
      </c>
    </row>
    <row r="27" spans="1:20">
      <c r="A27" s="6" t="s">
        <v>339</v>
      </c>
      <c r="B27" s="3" t="s">
        <v>163</v>
      </c>
      <c r="C27" s="3" t="s">
        <v>175</v>
      </c>
      <c r="D27" s="3">
        <v>3</v>
      </c>
      <c r="E27" s="3" t="s">
        <v>334</v>
      </c>
      <c r="F27" s="3" t="s">
        <v>267</v>
      </c>
      <c r="G27" s="3">
        <v>2</v>
      </c>
      <c r="H27" s="3">
        <v>1</v>
      </c>
      <c r="I27" s="3">
        <v>0</v>
      </c>
      <c r="J27" s="3">
        <v>5</v>
      </c>
      <c r="K27" s="3">
        <v>0</v>
      </c>
      <c r="L27" s="3">
        <v>3</v>
      </c>
      <c r="M27" s="3" t="s">
        <v>76</v>
      </c>
      <c r="N27" s="3" t="s">
        <v>340</v>
      </c>
      <c r="O27" s="3">
        <v>1</v>
      </c>
      <c r="P27" s="3" t="s">
        <v>336</v>
      </c>
      <c r="Q27" s="3">
        <f t="shared" si="0"/>
        <v>5</v>
      </c>
      <c r="R27" s="3">
        <f t="shared" si="1"/>
        <v>8</v>
      </c>
      <c r="S27" s="3">
        <f t="shared" si="2"/>
        <v>11</v>
      </c>
      <c r="T27" s="7" t="str">
        <f t="shared" si="3"/>
        <v>是</v>
      </c>
    </row>
    <row r="28" spans="1:20" ht="28.5">
      <c r="A28" s="6" t="s">
        <v>341</v>
      </c>
      <c r="B28" s="3" t="s">
        <v>163</v>
      </c>
      <c r="C28" s="3" t="s">
        <v>184</v>
      </c>
      <c r="D28" s="3">
        <v>2</v>
      </c>
      <c r="E28" s="3" t="s">
        <v>342</v>
      </c>
      <c r="F28" s="3" t="s">
        <v>267</v>
      </c>
      <c r="G28" s="3">
        <v>1</v>
      </c>
      <c r="H28" s="3">
        <v>1</v>
      </c>
      <c r="I28" s="3">
        <v>0</v>
      </c>
      <c r="J28" s="3">
        <v>3</v>
      </c>
      <c r="K28" s="3">
        <v>0</v>
      </c>
      <c r="L28" s="3">
        <v>0</v>
      </c>
      <c r="M28" s="3" t="s">
        <v>343</v>
      </c>
      <c r="N28" s="3" t="s">
        <v>344</v>
      </c>
      <c r="O28" s="3">
        <v>1</v>
      </c>
      <c r="P28" s="3" t="s">
        <v>279</v>
      </c>
      <c r="Q28" s="3">
        <f t="shared" si="0"/>
        <v>3</v>
      </c>
      <c r="R28" s="3">
        <f t="shared" si="1"/>
        <v>3</v>
      </c>
      <c r="S28" s="3">
        <f t="shared" si="2"/>
        <v>3</v>
      </c>
      <c r="T28" s="7" t="str">
        <f t="shared" si="3"/>
        <v>否</v>
      </c>
    </row>
    <row r="29" spans="1:20" ht="28.5">
      <c r="A29" s="6" t="s">
        <v>345</v>
      </c>
      <c r="B29" s="3" t="s">
        <v>163</v>
      </c>
      <c r="C29" s="3" t="s">
        <v>184</v>
      </c>
      <c r="D29" s="3">
        <v>3</v>
      </c>
      <c r="E29" s="3" t="s">
        <v>342</v>
      </c>
      <c r="F29" s="3" t="s">
        <v>267</v>
      </c>
      <c r="G29" s="3">
        <v>1</v>
      </c>
      <c r="H29" s="3">
        <v>1</v>
      </c>
      <c r="I29" s="3">
        <v>0</v>
      </c>
      <c r="J29" s="3">
        <v>3</v>
      </c>
      <c r="K29" s="3">
        <v>0</v>
      </c>
      <c r="L29" s="3">
        <v>0</v>
      </c>
      <c r="M29" s="3" t="s">
        <v>343</v>
      </c>
      <c r="N29" s="3" t="s">
        <v>346</v>
      </c>
      <c r="O29" s="3">
        <v>2</v>
      </c>
      <c r="P29" s="3" t="s">
        <v>279</v>
      </c>
      <c r="Q29" s="3">
        <f t="shared" si="0"/>
        <v>3</v>
      </c>
      <c r="R29" s="3">
        <f t="shared" si="1"/>
        <v>3</v>
      </c>
      <c r="S29" s="3">
        <f t="shared" si="2"/>
        <v>3</v>
      </c>
      <c r="T29" s="7" t="str">
        <f t="shared" si="3"/>
        <v>否</v>
      </c>
    </row>
    <row r="30" spans="1:20" ht="28.5">
      <c r="A30" s="6" t="s">
        <v>347</v>
      </c>
      <c r="B30" s="3" t="s">
        <v>163</v>
      </c>
      <c r="C30" s="3" t="s">
        <v>184</v>
      </c>
      <c r="D30" s="3">
        <v>4</v>
      </c>
      <c r="E30" s="3" t="s">
        <v>342</v>
      </c>
      <c r="F30" s="3" t="s">
        <v>267</v>
      </c>
      <c r="G30" s="3">
        <v>1</v>
      </c>
      <c r="H30" s="3">
        <v>1</v>
      </c>
      <c r="I30" s="3">
        <v>0</v>
      </c>
      <c r="J30" s="3">
        <v>3</v>
      </c>
      <c r="K30" s="3">
        <v>0</v>
      </c>
      <c r="L30" s="3">
        <v>0</v>
      </c>
      <c r="M30" s="3" t="s">
        <v>343</v>
      </c>
      <c r="N30" s="3" t="s">
        <v>348</v>
      </c>
      <c r="O30" s="3">
        <v>2</v>
      </c>
      <c r="P30" s="3" t="s">
        <v>279</v>
      </c>
      <c r="Q30" s="3">
        <f t="shared" si="0"/>
        <v>3</v>
      </c>
      <c r="R30" s="3">
        <f t="shared" si="1"/>
        <v>3</v>
      </c>
      <c r="S30" s="3">
        <f t="shared" si="2"/>
        <v>3</v>
      </c>
      <c r="T30" s="7" t="str">
        <f t="shared" si="3"/>
        <v>否</v>
      </c>
    </row>
    <row r="31" spans="1:20">
      <c r="A31" s="6" t="s">
        <v>349</v>
      </c>
      <c r="B31" s="3" t="s">
        <v>163</v>
      </c>
      <c r="C31" s="3" t="s">
        <v>194</v>
      </c>
      <c r="D31" s="3">
        <v>4</v>
      </c>
      <c r="E31" s="3" t="s">
        <v>350</v>
      </c>
      <c r="F31" s="3" t="s">
        <v>261</v>
      </c>
      <c r="G31" s="3">
        <v>1</v>
      </c>
      <c r="H31" s="3">
        <v>1</v>
      </c>
      <c r="I31" s="3">
        <v>6</v>
      </c>
      <c r="J31" s="3">
        <v>0</v>
      </c>
      <c r="K31" s="3">
        <v>0</v>
      </c>
      <c r="L31" s="3">
        <v>0</v>
      </c>
      <c r="M31" s="3" t="s">
        <v>277</v>
      </c>
      <c r="N31" s="3" t="s">
        <v>351</v>
      </c>
      <c r="O31" s="3">
        <v>1</v>
      </c>
      <c r="P31" s="3" t="s">
        <v>352</v>
      </c>
      <c r="Q31" s="3">
        <f t="shared" si="0"/>
        <v>6</v>
      </c>
      <c r="R31" s="3">
        <f t="shared" si="1"/>
        <v>6</v>
      </c>
      <c r="S31" s="3">
        <f t="shared" si="2"/>
        <v>6</v>
      </c>
      <c r="T31" s="7" t="str">
        <f t="shared" si="3"/>
        <v>否</v>
      </c>
    </row>
    <row r="32" spans="1:20">
      <c r="A32" s="6" t="s">
        <v>353</v>
      </c>
      <c r="B32" s="3" t="s">
        <v>163</v>
      </c>
      <c r="C32" s="3" t="s">
        <v>194</v>
      </c>
      <c r="D32" s="3">
        <v>4</v>
      </c>
      <c r="E32" s="3" t="s">
        <v>354</v>
      </c>
      <c r="F32" s="3" t="s">
        <v>267</v>
      </c>
      <c r="G32" s="3">
        <v>1</v>
      </c>
      <c r="H32" s="3">
        <v>1</v>
      </c>
      <c r="I32" s="3">
        <v>0</v>
      </c>
      <c r="J32" s="3">
        <v>6</v>
      </c>
      <c r="K32" s="3">
        <v>0</v>
      </c>
      <c r="L32" s="3">
        <v>0</v>
      </c>
      <c r="M32" s="3" t="s">
        <v>277</v>
      </c>
      <c r="N32" s="3" t="s">
        <v>351</v>
      </c>
      <c r="O32" s="3">
        <v>1</v>
      </c>
      <c r="P32" s="3" t="s">
        <v>355</v>
      </c>
      <c r="Q32" s="3">
        <f t="shared" si="0"/>
        <v>6</v>
      </c>
      <c r="R32" s="3">
        <f t="shared" si="1"/>
        <v>6</v>
      </c>
      <c r="S32" s="3">
        <f t="shared" si="2"/>
        <v>6</v>
      </c>
      <c r="T32" s="7" t="str">
        <f t="shared" si="3"/>
        <v>否</v>
      </c>
    </row>
    <row r="33" spans="1:20">
      <c r="A33" s="6" t="s">
        <v>356</v>
      </c>
      <c r="B33" s="3" t="s">
        <v>163</v>
      </c>
      <c r="C33" s="3" t="s">
        <v>194</v>
      </c>
      <c r="D33" s="3">
        <v>5</v>
      </c>
      <c r="E33" s="3" t="s">
        <v>350</v>
      </c>
      <c r="F33" s="3" t="s">
        <v>261</v>
      </c>
      <c r="G33" s="3">
        <v>1</v>
      </c>
      <c r="H33" s="3">
        <v>1</v>
      </c>
      <c r="I33" s="3">
        <v>7</v>
      </c>
      <c r="J33" s="3">
        <v>0</v>
      </c>
      <c r="K33" s="3">
        <v>0</v>
      </c>
      <c r="L33" s="3">
        <v>0</v>
      </c>
      <c r="M33" s="3" t="s">
        <v>277</v>
      </c>
      <c r="N33" s="3" t="s">
        <v>351</v>
      </c>
      <c r="O33" s="3">
        <v>1</v>
      </c>
      <c r="P33" s="3" t="s">
        <v>352</v>
      </c>
      <c r="Q33" s="3">
        <f t="shared" si="0"/>
        <v>7</v>
      </c>
      <c r="R33" s="3">
        <f t="shared" si="1"/>
        <v>7</v>
      </c>
      <c r="S33" s="3">
        <f t="shared" si="2"/>
        <v>7</v>
      </c>
      <c r="T33" s="7" t="str">
        <f t="shared" si="3"/>
        <v>否</v>
      </c>
    </row>
    <row r="34" spans="1:20">
      <c r="A34" s="6" t="s">
        <v>357</v>
      </c>
      <c r="B34" s="3" t="s">
        <v>163</v>
      </c>
      <c r="C34" s="3" t="s">
        <v>194</v>
      </c>
      <c r="D34" s="3">
        <v>5</v>
      </c>
      <c r="E34" s="3" t="s">
        <v>354</v>
      </c>
      <c r="F34" s="3" t="s">
        <v>267</v>
      </c>
      <c r="G34" s="3">
        <v>1</v>
      </c>
      <c r="H34" s="3">
        <v>1</v>
      </c>
      <c r="I34" s="3">
        <v>0</v>
      </c>
      <c r="J34" s="3">
        <v>7</v>
      </c>
      <c r="K34" s="3">
        <v>0</v>
      </c>
      <c r="L34" s="3">
        <v>0</v>
      </c>
      <c r="M34" s="3" t="s">
        <v>277</v>
      </c>
      <c r="N34" s="3" t="s">
        <v>351</v>
      </c>
      <c r="O34" s="3">
        <v>1</v>
      </c>
      <c r="P34" s="3" t="s">
        <v>355</v>
      </c>
      <c r="Q34" s="3">
        <f t="shared" si="0"/>
        <v>7</v>
      </c>
      <c r="R34" s="3">
        <f t="shared" si="1"/>
        <v>7</v>
      </c>
      <c r="S34" s="3">
        <f t="shared" si="2"/>
        <v>7</v>
      </c>
      <c r="T34" s="7" t="str">
        <f t="shared" si="3"/>
        <v>否</v>
      </c>
    </row>
    <row r="35" spans="1:20" ht="28.5">
      <c r="A35" s="6" t="s">
        <v>358</v>
      </c>
      <c r="B35" s="3" t="s">
        <v>202</v>
      </c>
      <c r="C35" s="3" t="s">
        <v>203</v>
      </c>
      <c r="D35" s="3">
        <v>1</v>
      </c>
      <c r="E35" s="3" t="s">
        <v>359</v>
      </c>
      <c r="F35" s="3" t="s">
        <v>261</v>
      </c>
      <c r="G35" s="3">
        <v>1</v>
      </c>
      <c r="H35" s="3">
        <v>1</v>
      </c>
      <c r="I35" s="3">
        <v>6</v>
      </c>
      <c r="J35" s="3">
        <v>0</v>
      </c>
      <c r="K35" s="3">
        <v>3</v>
      </c>
      <c r="L35" s="3">
        <v>0</v>
      </c>
      <c r="M35" s="3" t="s">
        <v>76</v>
      </c>
      <c r="N35" s="3" t="s">
        <v>360</v>
      </c>
      <c r="O35" s="3">
        <v>3</v>
      </c>
      <c r="P35" s="3" t="s">
        <v>361</v>
      </c>
      <c r="Q35" s="3">
        <f t="shared" si="0"/>
        <v>6</v>
      </c>
      <c r="R35" s="3">
        <f t="shared" si="1"/>
        <v>9</v>
      </c>
      <c r="S35" s="3">
        <f t="shared" si="2"/>
        <v>12</v>
      </c>
      <c r="T35" s="7" t="str">
        <f t="shared" si="3"/>
        <v>是</v>
      </c>
    </row>
    <row r="36" spans="1:20">
      <c r="A36" s="6" t="s">
        <v>362</v>
      </c>
      <c r="B36" s="3" t="s">
        <v>210</v>
      </c>
      <c r="C36" s="3" t="s">
        <v>211</v>
      </c>
      <c r="D36" s="3">
        <v>1</v>
      </c>
      <c r="E36" s="3" t="s">
        <v>363</v>
      </c>
      <c r="F36" s="3" t="s">
        <v>267</v>
      </c>
      <c r="G36" s="3">
        <v>1</v>
      </c>
      <c r="H36" s="3">
        <v>1</v>
      </c>
      <c r="I36" s="3">
        <v>0</v>
      </c>
      <c r="J36" s="3">
        <v>6</v>
      </c>
      <c r="K36" s="3">
        <v>0</v>
      </c>
      <c r="L36" s="3">
        <v>0</v>
      </c>
      <c r="M36" s="3" t="s">
        <v>76</v>
      </c>
      <c r="N36" s="3" t="s">
        <v>364</v>
      </c>
      <c r="O36" s="3">
        <v>3</v>
      </c>
      <c r="P36" s="3" t="s">
        <v>365</v>
      </c>
      <c r="Q36" s="3">
        <f t="shared" si="0"/>
        <v>6</v>
      </c>
      <c r="R36" s="3">
        <f t="shared" si="1"/>
        <v>6</v>
      </c>
      <c r="S36" s="3">
        <f t="shared" si="2"/>
        <v>6</v>
      </c>
      <c r="T36" s="7" t="str">
        <f t="shared" si="3"/>
        <v>否</v>
      </c>
    </row>
    <row r="37" spans="1:20" ht="15">
      <c r="A37" s="6" t="s">
        <v>366</v>
      </c>
      <c r="B37" s="3" t="s">
        <v>202</v>
      </c>
      <c r="C37" s="3" t="s">
        <v>217</v>
      </c>
      <c r="D37" s="3">
        <v>2</v>
      </c>
      <c r="E37" s="3" t="s">
        <v>367</v>
      </c>
      <c r="F37" s="3" t="s">
        <v>267</v>
      </c>
      <c r="G37" s="3">
        <v>2</v>
      </c>
      <c r="H37" s="3">
        <v>1</v>
      </c>
      <c r="I37" s="3">
        <v>0</v>
      </c>
      <c r="J37" s="3">
        <v>5</v>
      </c>
      <c r="K37" s="3">
        <v>0</v>
      </c>
      <c r="L37" s="3">
        <v>3</v>
      </c>
      <c r="M37" s="3" t="s">
        <v>76</v>
      </c>
      <c r="N37" s="3" t="s">
        <v>368</v>
      </c>
      <c r="O37" s="3">
        <v>1</v>
      </c>
      <c r="P37" s="3" t="s">
        <v>369</v>
      </c>
      <c r="Q37" s="3">
        <f t="shared" si="0"/>
        <v>5</v>
      </c>
      <c r="R37" s="3">
        <f t="shared" si="1"/>
        <v>8</v>
      </c>
      <c r="S37" s="3">
        <f t="shared" si="2"/>
        <v>11</v>
      </c>
      <c r="T37" s="7" t="str">
        <f t="shared" si="3"/>
        <v>是</v>
      </c>
    </row>
    <row r="38" spans="1:20" ht="15">
      <c r="A38" s="6" t="s">
        <v>370</v>
      </c>
      <c r="B38" s="3" t="s">
        <v>202</v>
      </c>
      <c r="C38" s="3" t="s">
        <v>224</v>
      </c>
      <c r="D38" s="3">
        <v>3</v>
      </c>
      <c r="E38" s="3" t="s">
        <v>371</v>
      </c>
      <c r="F38" s="3" t="s">
        <v>267</v>
      </c>
      <c r="G38" s="3">
        <v>1</v>
      </c>
      <c r="H38" s="3">
        <v>1</v>
      </c>
      <c r="I38" s="3">
        <v>0</v>
      </c>
      <c r="J38" s="3">
        <v>6</v>
      </c>
      <c r="K38" s="3">
        <v>0</v>
      </c>
      <c r="L38" s="3">
        <v>4</v>
      </c>
      <c r="M38" s="3" t="s">
        <v>76</v>
      </c>
      <c r="N38" s="3" t="s">
        <v>372</v>
      </c>
      <c r="O38" s="3">
        <v>1</v>
      </c>
      <c r="P38" s="3" t="s">
        <v>373</v>
      </c>
      <c r="Q38" s="3">
        <f t="shared" si="0"/>
        <v>6</v>
      </c>
      <c r="R38" s="3">
        <f t="shared" si="1"/>
        <v>10</v>
      </c>
      <c r="S38" s="3">
        <f t="shared" si="2"/>
        <v>14</v>
      </c>
      <c r="T38" s="7" t="str">
        <f t="shared" si="3"/>
        <v>是</v>
      </c>
    </row>
    <row r="39" spans="1:20" ht="15">
      <c r="A39" s="6" t="s">
        <v>374</v>
      </c>
      <c r="B39" s="3" t="s">
        <v>202</v>
      </c>
      <c r="C39" s="3" t="s">
        <v>224</v>
      </c>
      <c r="D39" s="3">
        <v>3</v>
      </c>
      <c r="E39" s="3" t="s">
        <v>375</v>
      </c>
      <c r="F39" s="3" t="s">
        <v>267</v>
      </c>
      <c r="G39" s="3">
        <v>1</v>
      </c>
      <c r="H39" s="3">
        <v>1</v>
      </c>
      <c r="I39" s="3">
        <v>0</v>
      </c>
      <c r="J39" s="3">
        <v>4</v>
      </c>
      <c r="K39" s="3">
        <v>0</v>
      </c>
      <c r="L39" s="3">
        <v>2</v>
      </c>
      <c r="M39" s="3" t="s">
        <v>268</v>
      </c>
      <c r="N39" s="3" t="s">
        <v>372</v>
      </c>
      <c r="O39" s="3">
        <v>1</v>
      </c>
      <c r="P39" s="3" t="s">
        <v>376</v>
      </c>
      <c r="Q39" s="3">
        <f t="shared" si="0"/>
        <v>4</v>
      </c>
      <c r="R39" s="3">
        <f t="shared" si="1"/>
        <v>6</v>
      </c>
      <c r="S39" s="3">
        <f t="shared" si="2"/>
        <v>8</v>
      </c>
      <c r="T39" s="7" t="str">
        <f t="shared" si="3"/>
        <v>是</v>
      </c>
    </row>
    <row r="40" spans="1:20" ht="15">
      <c r="A40" s="6" t="s">
        <v>377</v>
      </c>
      <c r="B40" s="3" t="s">
        <v>202</v>
      </c>
      <c r="C40" s="3" t="s">
        <v>231</v>
      </c>
      <c r="D40" s="3">
        <v>4</v>
      </c>
      <c r="E40" s="3" t="s">
        <v>378</v>
      </c>
      <c r="F40" s="3" t="s">
        <v>267</v>
      </c>
      <c r="G40" s="3">
        <v>1</v>
      </c>
      <c r="H40" s="3">
        <v>1</v>
      </c>
      <c r="I40" s="3">
        <v>0</v>
      </c>
      <c r="J40" s="3">
        <v>9</v>
      </c>
      <c r="K40" s="3">
        <v>0</v>
      </c>
      <c r="L40" s="3">
        <v>5</v>
      </c>
      <c r="M40" s="3" t="s">
        <v>268</v>
      </c>
      <c r="N40" s="3" t="s">
        <v>379</v>
      </c>
      <c r="O40" s="3">
        <v>2</v>
      </c>
      <c r="P40" s="3" t="s">
        <v>380</v>
      </c>
      <c r="Q40" s="3">
        <f t="shared" si="0"/>
        <v>9</v>
      </c>
      <c r="R40" s="3">
        <f t="shared" si="1"/>
        <v>14</v>
      </c>
      <c r="S40" s="3">
        <f t="shared" si="2"/>
        <v>19</v>
      </c>
      <c r="T40" s="7" t="str">
        <f t="shared" si="3"/>
        <v>是</v>
      </c>
    </row>
    <row r="41" spans="1:20" ht="15">
      <c r="A41" s="6" t="s">
        <v>381</v>
      </c>
      <c r="B41" s="3" t="s">
        <v>202</v>
      </c>
      <c r="C41" s="3" t="s">
        <v>237</v>
      </c>
      <c r="D41" s="3">
        <v>5</v>
      </c>
      <c r="E41" s="3" t="s">
        <v>382</v>
      </c>
      <c r="F41" s="3" t="s">
        <v>267</v>
      </c>
      <c r="G41" s="3">
        <v>1</v>
      </c>
      <c r="H41" s="3">
        <v>1</v>
      </c>
      <c r="I41" s="3">
        <v>0</v>
      </c>
      <c r="J41" s="3">
        <v>10</v>
      </c>
      <c r="K41" s="3">
        <v>0</v>
      </c>
      <c r="L41" s="3">
        <v>6</v>
      </c>
      <c r="M41" s="3" t="s">
        <v>76</v>
      </c>
      <c r="N41" s="3" t="s">
        <v>383</v>
      </c>
      <c r="O41" s="3">
        <v>1</v>
      </c>
      <c r="P41" s="3" t="s">
        <v>384</v>
      </c>
      <c r="Q41" s="3">
        <f t="shared" si="0"/>
        <v>10</v>
      </c>
      <c r="R41" s="3">
        <f t="shared" si="1"/>
        <v>16</v>
      </c>
      <c r="S41" s="3">
        <f t="shared" si="2"/>
        <v>22</v>
      </c>
      <c r="T41" s="7" t="str">
        <f t="shared" si="3"/>
        <v>是</v>
      </c>
    </row>
    <row r="42" spans="1:20" ht="28.5">
      <c r="A42" s="8" t="s">
        <v>385</v>
      </c>
      <c r="B42" s="12" t="s">
        <v>202</v>
      </c>
      <c r="C42" s="12" t="s">
        <v>237</v>
      </c>
      <c r="D42" s="12">
        <v>5</v>
      </c>
      <c r="E42" s="12" t="s">
        <v>47</v>
      </c>
      <c r="F42" s="12" t="s">
        <v>267</v>
      </c>
      <c r="G42" s="12">
        <v>1</v>
      </c>
      <c r="H42" s="12">
        <v>1</v>
      </c>
      <c r="I42" s="12">
        <v>0</v>
      </c>
      <c r="J42" s="12">
        <v>5</v>
      </c>
      <c r="K42" s="12">
        <v>0</v>
      </c>
      <c r="L42" s="12">
        <v>0</v>
      </c>
      <c r="M42" s="12" t="s">
        <v>386</v>
      </c>
      <c r="N42" s="12" t="s">
        <v>387</v>
      </c>
      <c r="O42" s="12">
        <v>1</v>
      </c>
      <c r="P42" s="12" t="s">
        <v>388</v>
      </c>
      <c r="Q42" s="12">
        <f t="shared" si="0"/>
        <v>5</v>
      </c>
      <c r="R42" s="12">
        <f t="shared" si="1"/>
        <v>5</v>
      </c>
      <c r="S42" s="12">
        <f t="shared" si="2"/>
        <v>5</v>
      </c>
      <c r="T42" s="9" t="str">
        <f t="shared" si="3"/>
        <v>否</v>
      </c>
    </row>
  </sheetData>
  <phoneticPr fontId="13" type="noConversion"/>
  <conditionalFormatting sqref="F2:F42">
    <cfRule type="expression" dxfId="4" priority="1">
      <formula>F2="攻击"</formula>
    </cfRule>
    <cfRule type="expression" dxfId="3" priority="2">
      <formula>F2="技能"</formula>
    </cfRule>
  </conditionalFormatting>
  <conditionalFormatting sqref="T2:T42">
    <cfRule type="expression" dxfId="2" priority="3">
      <formula>T2="是"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3"/>
  <sheetViews>
    <sheetView workbookViewId="0"/>
  </sheetViews>
  <sheetFormatPr defaultRowHeight="14.25"/>
  <cols>
    <col min="1" max="1" width="16" customWidth="1"/>
    <col min="2" max="2" width="10" customWidth="1"/>
    <col min="3" max="3" width="18" customWidth="1"/>
    <col min="4" max="4" width="8" customWidth="1"/>
    <col min="5" max="5" width="18" customWidth="1"/>
    <col min="6" max="6" width="8" customWidth="1"/>
    <col min="7" max="7" width="18" customWidth="1"/>
    <col min="8" max="8" width="8" customWidth="1"/>
    <col min="9" max="10" width="10" customWidth="1"/>
    <col min="11" max="11" width="28" customWidth="1"/>
    <col min="12" max="12" width="34" customWidth="1"/>
  </cols>
  <sheetData>
    <row r="1" spans="1:12" ht="15">
      <c r="A1" s="1" t="s">
        <v>52</v>
      </c>
      <c r="B1" s="10" t="s">
        <v>389</v>
      </c>
      <c r="C1" s="10" t="s">
        <v>390</v>
      </c>
      <c r="D1" s="10" t="s">
        <v>391</v>
      </c>
      <c r="E1" s="10" t="s">
        <v>392</v>
      </c>
      <c r="F1" s="10" t="s">
        <v>393</v>
      </c>
      <c r="G1" s="10" t="s">
        <v>394</v>
      </c>
      <c r="H1" s="10" t="s">
        <v>395</v>
      </c>
      <c r="I1" s="10" t="s">
        <v>396</v>
      </c>
      <c r="J1" s="10" t="s">
        <v>397</v>
      </c>
      <c r="K1" s="10" t="s">
        <v>398</v>
      </c>
      <c r="L1" s="2" t="s">
        <v>399</v>
      </c>
    </row>
    <row r="2" spans="1:12">
      <c r="A2" s="4" t="s">
        <v>70</v>
      </c>
      <c r="B2" s="11" t="s">
        <v>400</v>
      </c>
      <c r="C2" s="11" t="s">
        <v>71</v>
      </c>
      <c r="D2" s="11">
        <v>1</v>
      </c>
      <c r="E2" s="11" t="s">
        <v>76</v>
      </c>
      <c r="F2" s="11" t="s">
        <v>76</v>
      </c>
      <c r="G2" s="11" t="s">
        <v>71</v>
      </c>
      <c r="H2" s="11">
        <v>2</v>
      </c>
      <c r="I2" s="11">
        <f>D2+1</f>
        <v>2</v>
      </c>
      <c r="J2" s="11" t="str">
        <f t="shared" ref="J2:J13" si="0">IF(I2=H2,"OK","CHECK")</f>
        <v>OK</v>
      </c>
      <c r="K2" s="11" t="s">
        <v>401</v>
      </c>
      <c r="L2" s="5" t="s">
        <v>402</v>
      </c>
    </row>
    <row r="3" spans="1:12">
      <c r="A3" s="6" t="s">
        <v>70</v>
      </c>
      <c r="B3" s="3" t="s">
        <v>403</v>
      </c>
      <c r="C3" s="3" t="s">
        <v>71</v>
      </c>
      <c r="D3" s="3">
        <v>2</v>
      </c>
      <c r="E3" s="3" t="s">
        <v>89</v>
      </c>
      <c r="F3" s="3">
        <v>2</v>
      </c>
      <c r="G3" s="3" t="s">
        <v>104</v>
      </c>
      <c r="H3" s="3">
        <v>3</v>
      </c>
      <c r="I3" s="3">
        <f t="shared" ref="I3:I10" si="1">MAX(D3,F3)+1</f>
        <v>3</v>
      </c>
      <c r="J3" s="3" t="str">
        <f t="shared" si="0"/>
        <v>OK</v>
      </c>
      <c r="K3" s="3" t="s">
        <v>401</v>
      </c>
      <c r="L3" s="7" t="s">
        <v>404</v>
      </c>
    </row>
    <row r="4" spans="1:12">
      <c r="A4" s="6" t="s">
        <v>70</v>
      </c>
      <c r="B4" s="3" t="s">
        <v>403</v>
      </c>
      <c r="C4" s="3" t="s">
        <v>104</v>
      </c>
      <c r="D4" s="3">
        <v>3</v>
      </c>
      <c r="E4" s="3" t="s">
        <v>111</v>
      </c>
      <c r="F4" s="3">
        <v>3</v>
      </c>
      <c r="G4" s="3" t="s">
        <v>31</v>
      </c>
      <c r="H4" s="3">
        <v>4</v>
      </c>
      <c r="I4" s="3">
        <f t="shared" si="1"/>
        <v>4</v>
      </c>
      <c r="J4" s="3" t="str">
        <f t="shared" si="0"/>
        <v>OK</v>
      </c>
      <c r="K4" s="3" t="s">
        <v>401</v>
      </c>
      <c r="L4" s="7" t="s">
        <v>405</v>
      </c>
    </row>
    <row r="5" spans="1:12">
      <c r="A5" s="6" t="s">
        <v>70</v>
      </c>
      <c r="B5" s="3" t="s">
        <v>403</v>
      </c>
      <c r="C5" s="3" t="s">
        <v>89</v>
      </c>
      <c r="D5" s="3">
        <v>4</v>
      </c>
      <c r="E5" s="3" t="s">
        <v>35</v>
      </c>
      <c r="F5" s="3">
        <v>4</v>
      </c>
      <c r="G5" s="3" t="s">
        <v>39</v>
      </c>
      <c r="H5" s="3">
        <v>5</v>
      </c>
      <c r="I5" s="3">
        <f t="shared" si="1"/>
        <v>5</v>
      </c>
      <c r="J5" s="3" t="str">
        <f t="shared" si="0"/>
        <v>OK</v>
      </c>
      <c r="K5" s="3" t="s">
        <v>401</v>
      </c>
      <c r="L5" s="7" t="s">
        <v>406</v>
      </c>
    </row>
    <row r="6" spans="1:12">
      <c r="A6" s="6" t="s">
        <v>202</v>
      </c>
      <c r="B6" s="3" t="s">
        <v>403</v>
      </c>
      <c r="C6" s="3" t="s">
        <v>203</v>
      </c>
      <c r="D6" s="3">
        <v>1</v>
      </c>
      <c r="E6" s="3" t="s">
        <v>211</v>
      </c>
      <c r="F6" s="3">
        <v>1</v>
      </c>
      <c r="G6" s="3" t="s">
        <v>217</v>
      </c>
      <c r="H6" s="3">
        <v>2</v>
      </c>
      <c r="I6" s="3">
        <f t="shared" si="1"/>
        <v>2</v>
      </c>
      <c r="J6" s="3" t="str">
        <f t="shared" si="0"/>
        <v>OK</v>
      </c>
      <c r="K6" s="3" t="s">
        <v>407</v>
      </c>
      <c r="L6" s="7" t="s">
        <v>408</v>
      </c>
    </row>
    <row r="7" spans="1:12">
      <c r="A7" s="6" t="s">
        <v>202</v>
      </c>
      <c r="B7" s="3" t="s">
        <v>403</v>
      </c>
      <c r="C7" s="3" t="s">
        <v>217</v>
      </c>
      <c r="D7" s="3">
        <v>2</v>
      </c>
      <c r="E7" s="3" t="s">
        <v>175</v>
      </c>
      <c r="F7" s="3">
        <v>2</v>
      </c>
      <c r="G7" s="3" t="s">
        <v>224</v>
      </c>
      <c r="H7" s="3">
        <v>3</v>
      </c>
      <c r="I7" s="3">
        <f t="shared" si="1"/>
        <v>3</v>
      </c>
      <c r="J7" s="3" t="str">
        <f t="shared" si="0"/>
        <v>OK</v>
      </c>
      <c r="K7" s="3" t="s">
        <v>409</v>
      </c>
      <c r="L7" s="7" t="s">
        <v>410</v>
      </c>
    </row>
    <row r="8" spans="1:12">
      <c r="A8" s="6" t="s">
        <v>202</v>
      </c>
      <c r="B8" s="3" t="s">
        <v>403</v>
      </c>
      <c r="C8" s="3" t="s">
        <v>224</v>
      </c>
      <c r="D8" s="3">
        <v>3</v>
      </c>
      <c r="E8" s="3" t="s">
        <v>184</v>
      </c>
      <c r="F8" s="3">
        <v>3</v>
      </c>
      <c r="G8" s="3" t="s">
        <v>231</v>
      </c>
      <c r="H8" s="3">
        <v>4</v>
      </c>
      <c r="I8" s="3">
        <f t="shared" si="1"/>
        <v>4</v>
      </c>
      <c r="J8" s="3" t="str">
        <f t="shared" si="0"/>
        <v>OK</v>
      </c>
      <c r="K8" s="3" t="s">
        <v>409</v>
      </c>
      <c r="L8" s="7" t="s">
        <v>411</v>
      </c>
    </row>
    <row r="9" spans="1:12">
      <c r="A9" s="6" t="s">
        <v>202</v>
      </c>
      <c r="B9" s="3" t="s">
        <v>403</v>
      </c>
      <c r="C9" s="3" t="s">
        <v>231</v>
      </c>
      <c r="D9" s="3">
        <v>4</v>
      </c>
      <c r="E9" s="3" t="s">
        <v>194</v>
      </c>
      <c r="F9" s="3">
        <v>4</v>
      </c>
      <c r="G9" s="3" t="s">
        <v>237</v>
      </c>
      <c r="H9" s="3">
        <v>5</v>
      </c>
      <c r="I9" s="3">
        <f t="shared" si="1"/>
        <v>5</v>
      </c>
      <c r="J9" s="3" t="str">
        <f t="shared" si="0"/>
        <v>OK</v>
      </c>
      <c r="K9" s="3" t="s">
        <v>409</v>
      </c>
      <c r="L9" s="7" t="s">
        <v>412</v>
      </c>
    </row>
    <row r="10" spans="1:12">
      <c r="A10" s="6" t="s">
        <v>413</v>
      </c>
      <c r="B10" s="3" t="s">
        <v>403</v>
      </c>
      <c r="C10" s="3" t="s">
        <v>39</v>
      </c>
      <c r="D10" s="3">
        <v>5</v>
      </c>
      <c r="E10" s="3" t="s">
        <v>237</v>
      </c>
      <c r="F10" s="3">
        <v>5</v>
      </c>
      <c r="G10" s="3" t="s">
        <v>43</v>
      </c>
      <c r="H10" s="3">
        <v>6</v>
      </c>
      <c r="I10" s="3">
        <f t="shared" si="1"/>
        <v>6</v>
      </c>
      <c r="J10" s="3" t="str">
        <f t="shared" si="0"/>
        <v>OK</v>
      </c>
      <c r="K10" s="3" t="s">
        <v>414</v>
      </c>
      <c r="L10" s="7" t="s">
        <v>415</v>
      </c>
    </row>
    <row r="11" spans="1:12">
      <c r="A11" s="6" t="s">
        <v>140</v>
      </c>
      <c r="B11" s="3" t="s">
        <v>400</v>
      </c>
      <c r="C11" s="3" t="s">
        <v>43</v>
      </c>
      <c r="D11" s="3">
        <v>6</v>
      </c>
      <c r="E11" s="3" t="s">
        <v>76</v>
      </c>
      <c r="F11" s="3" t="s">
        <v>76</v>
      </c>
      <c r="G11" s="3" t="s">
        <v>43</v>
      </c>
      <c r="H11" s="3">
        <v>7</v>
      </c>
      <c r="I11" s="3">
        <f>D11+1</f>
        <v>7</v>
      </c>
      <c r="J11" s="3" t="str">
        <f t="shared" si="0"/>
        <v>OK</v>
      </c>
      <c r="K11" s="3" t="s">
        <v>401</v>
      </c>
      <c r="L11" s="7" t="s">
        <v>416</v>
      </c>
    </row>
    <row r="12" spans="1:12">
      <c r="A12" s="6" t="s">
        <v>140</v>
      </c>
      <c r="B12" s="3" t="s">
        <v>400</v>
      </c>
      <c r="C12" s="3" t="s">
        <v>43</v>
      </c>
      <c r="D12" s="3">
        <v>7</v>
      </c>
      <c r="E12" s="3" t="s">
        <v>76</v>
      </c>
      <c r="F12" s="3" t="s">
        <v>76</v>
      </c>
      <c r="G12" s="3" t="s">
        <v>43</v>
      </c>
      <c r="H12" s="3">
        <v>8</v>
      </c>
      <c r="I12" s="3">
        <f>D12+1</f>
        <v>8</v>
      </c>
      <c r="J12" s="3" t="str">
        <f t="shared" si="0"/>
        <v>OK</v>
      </c>
      <c r="K12" s="3" t="s">
        <v>401</v>
      </c>
      <c r="L12" s="7" t="s">
        <v>416</v>
      </c>
    </row>
    <row r="13" spans="1:12">
      <c r="A13" s="8" t="s">
        <v>140</v>
      </c>
      <c r="B13" s="12" t="s">
        <v>403</v>
      </c>
      <c r="C13" s="12" t="s">
        <v>43</v>
      </c>
      <c r="D13" s="12">
        <v>8</v>
      </c>
      <c r="E13" s="12" t="s">
        <v>39</v>
      </c>
      <c r="F13" s="12">
        <v>5</v>
      </c>
      <c r="G13" s="12" t="s">
        <v>153</v>
      </c>
      <c r="H13" s="12">
        <v>9</v>
      </c>
      <c r="I13" s="12">
        <f>MAX(D13,F13)+1</f>
        <v>9</v>
      </c>
      <c r="J13" s="12" t="str">
        <f t="shared" si="0"/>
        <v>OK</v>
      </c>
      <c r="K13" s="12" t="s">
        <v>401</v>
      </c>
      <c r="L13" s="9" t="s">
        <v>417</v>
      </c>
    </row>
  </sheetData>
  <phoneticPr fontId="13" type="noConversion"/>
  <conditionalFormatting sqref="J2:J13">
    <cfRule type="expression" dxfId="1" priority="1">
      <formula>J2="CHECK"</formula>
    </cfRule>
    <cfRule type="expression" dxfId="0" priority="2">
      <formula>J2="OK"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3"/>
  <sheetViews>
    <sheetView workbookViewId="0"/>
  </sheetViews>
  <sheetFormatPr defaultRowHeight="14.25"/>
  <cols>
    <col min="1" max="1" width="24" customWidth="1"/>
    <col min="2" max="2" width="80" customWidth="1"/>
    <col min="3" max="3" width="44" customWidth="1"/>
  </cols>
  <sheetData>
    <row r="1" spans="1:3" ht="18">
      <c r="A1" s="28" t="s">
        <v>418</v>
      </c>
      <c r="B1" s="25"/>
      <c r="C1" s="25"/>
    </row>
    <row r="2" spans="1:3" ht="15">
      <c r="A2" s="1" t="s">
        <v>419</v>
      </c>
      <c r="B2" s="10" t="s">
        <v>420</v>
      </c>
      <c r="C2" s="2" t="s">
        <v>399</v>
      </c>
    </row>
    <row r="3" spans="1:3">
      <c r="A3" s="4" t="s">
        <v>421</v>
      </c>
      <c r="B3" s="11" t="s">
        <v>422</v>
      </c>
      <c r="C3" s="5" t="s">
        <v>423</v>
      </c>
    </row>
    <row r="4" spans="1:3">
      <c r="A4" s="6" t="s">
        <v>424</v>
      </c>
      <c r="B4" s="3" t="s">
        <v>425</v>
      </c>
      <c r="C4" s="7" t="s">
        <v>426</v>
      </c>
    </row>
    <row r="5" spans="1:3" ht="42.75">
      <c r="A5" s="6" t="s">
        <v>427</v>
      </c>
      <c r="B5" s="3" t="s">
        <v>428</v>
      </c>
      <c r="C5" s="7" t="s">
        <v>429</v>
      </c>
    </row>
    <row r="6" spans="1:3" ht="28.5">
      <c r="A6" s="6" t="s">
        <v>27</v>
      </c>
      <c r="B6" s="3" t="s">
        <v>430</v>
      </c>
      <c r="C6" s="7" t="s">
        <v>431</v>
      </c>
    </row>
    <row r="7" spans="1:3" ht="28.5">
      <c r="A7" s="6" t="s">
        <v>432</v>
      </c>
      <c r="B7" s="3" t="s">
        <v>433</v>
      </c>
      <c r="C7" s="7" t="s">
        <v>434</v>
      </c>
    </row>
    <row r="8" spans="1:3" ht="28.5">
      <c r="A8" s="6" t="s">
        <v>435</v>
      </c>
      <c r="B8" s="3" t="s">
        <v>436</v>
      </c>
      <c r="C8" s="7" t="s">
        <v>437</v>
      </c>
    </row>
    <row r="9" spans="1:3">
      <c r="A9" s="6" t="s">
        <v>438</v>
      </c>
      <c r="B9" s="3" t="s">
        <v>439</v>
      </c>
      <c r="C9" s="7" t="s">
        <v>440</v>
      </c>
    </row>
    <row r="10" spans="1:3">
      <c r="A10" s="6" t="s">
        <v>441</v>
      </c>
      <c r="B10" s="3" t="s">
        <v>442</v>
      </c>
      <c r="C10" s="7" t="s">
        <v>443</v>
      </c>
    </row>
    <row r="11" spans="1:3">
      <c r="A11" s="8" t="s">
        <v>444</v>
      </c>
      <c r="B11" s="12" t="s">
        <v>445</v>
      </c>
      <c r="C11" s="9" t="s">
        <v>446</v>
      </c>
    </row>
    <row r="13" spans="1:3" ht="18">
      <c r="A13" s="28" t="s">
        <v>447</v>
      </c>
      <c r="B13" s="25"/>
      <c r="C13" s="25"/>
    </row>
    <row r="14" spans="1:3" ht="15">
      <c r="A14" s="1" t="s">
        <v>2</v>
      </c>
      <c r="B14" s="10" t="s">
        <v>448</v>
      </c>
      <c r="C14" s="2" t="s">
        <v>449</v>
      </c>
    </row>
    <row r="15" spans="1:3">
      <c r="A15" s="4" t="s">
        <v>450</v>
      </c>
      <c r="B15" s="11" t="s">
        <v>451</v>
      </c>
      <c r="C15" s="5" t="s">
        <v>452</v>
      </c>
    </row>
    <row r="16" spans="1:3">
      <c r="A16" s="6" t="s">
        <v>453</v>
      </c>
      <c r="B16" s="3" t="s">
        <v>454</v>
      </c>
      <c r="C16" s="7" t="s">
        <v>455</v>
      </c>
    </row>
    <row r="17" spans="1:3">
      <c r="A17" s="6" t="s">
        <v>456</v>
      </c>
      <c r="B17" s="3" t="s">
        <v>457</v>
      </c>
      <c r="C17" s="7" t="s">
        <v>458</v>
      </c>
    </row>
    <row r="18" spans="1:3">
      <c r="A18" s="6" t="s">
        <v>459</v>
      </c>
      <c r="B18" s="3" t="s">
        <v>460</v>
      </c>
      <c r="C18" s="7" t="s">
        <v>461</v>
      </c>
    </row>
    <row r="19" spans="1:3">
      <c r="A19" s="6" t="s">
        <v>27</v>
      </c>
      <c r="B19" s="3" t="s">
        <v>462</v>
      </c>
      <c r="C19" s="7" t="s">
        <v>463</v>
      </c>
    </row>
    <row r="20" spans="1:3">
      <c r="A20" s="6" t="s">
        <v>464</v>
      </c>
      <c r="B20" s="3" t="s">
        <v>465</v>
      </c>
      <c r="C20" s="7" t="s">
        <v>466</v>
      </c>
    </row>
    <row r="21" spans="1:3">
      <c r="A21" s="6" t="s">
        <v>467</v>
      </c>
      <c r="B21" s="3" t="s">
        <v>468</v>
      </c>
      <c r="C21" s="7" t="s">
        <v>469</v>
      </c>
    </row>
    <row r="22" spans="1:3">
      <c r="A22" s="6" t="s">
        <v>470</v>
      </c>
      <c r="B22" s="3" t="s">
        <v>471</v>
      </c>
      <c r="C22" s="7" t="s">
        <v>472</v>
      </c>
    </row>
    <row r="23" spans="1:3">
      <c r="A23" s="8" t="s">
        <v>473</v>
      </c>
      <c r="B23" s="12" t="s">
        <v>474</v>
      </c>
      <c r="C23" s="9" t="s">
        <v>475</v>
      </c>
    </row>
  </sheetData>
  <mergeCells count="2">
    <mergeCell ref="A1:C1"/>
    <mergeCell ref="A13:C13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1"/>
  <sheetViews>
    <sheetView workbookViewId="0"/>
  </sheetViews>
  <sheetFormatPr defaultRowHeight="14.25"/>
  <cols>
    <col min="1" max="1" width="12" customWidth="1"/>
    <col min="2" max="3" width="18" customWidth="1"/>
    <col min="4" max="4" width="20" customWidth="1"/>
    <col min="5" max="5" width="8" customWidth="1"/>
    <col min="6" max="6" width="14" customWidth="1"/>
    <col min="7" max="7" width="16" customWidth="1"/>
    <col min="8" max="8" width="34" customWidth="1"/>
    <col min="9" max="9" width="20" customWidth="1"/>
    <col min="10" max="10" width="34" customWidth="1"/>
    <col min="11" max="11" width="14" customWidth="1"/>
    <col min="12" max="12" width="34" customWidth="1"/>
    <col min="13" max="13" width="22" customWidth="1"/>
    <col min="14" max="14" width="34" customWidth="1"/>
  </cols>
  <sheetData>
    <row r="1" spans="1:14" ht="30">
      <c r="A1" s="1" t="s">
        <v>476</v>
      </c>
      <c r="B1" s="10" t="s">
        <v>477</v>
      </c>
      <c r="C1" s="10" t="s">
        <v>478</v>
      </c>
      <c r="D1" s="10" t="s">
        <v>479</v>
      </c>
      <c r="E1" s="10" t="s">
        <v>54</v>
      </c>
      <c r="F1" s="10" t="s">
        <v>480</v>
      </c>
      <c r="G1" s="10" t="s">
        <v>481</v>
      </c>
      <c r="H1" s="10" t="s">
        <v>482</v>
      </c>
      <c r="I1" s="10" t="s">
        <v>483</v>
      </c>
      <c r="J1" s="10" t="s">
        <v>484</v>
      </c>
      <c r="K1" s="10" t="s">
        <v>485</v>
      </c>
      <c r="L1" s="10" t="s">
        <v>486</v>
      </c>
      <c r="M1" s="10" t="s">
        <v>487</v>
      </c>
      <c r="N1" s="2" t="s">
        <v>488</v>
      </c>
    </row>
    <row r="2" spans="1:14">
      <c r="A2" s="4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5"/>
    </row>
    <row r="3" spans="1:14">
      <c r="A3" s="6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7"/>
    </row>
    <row r="4" spans="1:14">
      <c r="A4" s="6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7"/>
    </row>
    <row r="5" spans="1:14">
      <c r="A5" s="6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7"/>
    </row>
    <row r="6" spans="1:14">
      <c r="A6" s="6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7"/>
    </row>
    <row r="7" spans="1:14">
      <c r="A7" s="6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7"/>
    </row>
    <row r="8" spans="1:14">
      <c r="A8" s="6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7"/>
    </row>
    <row r="9" spans="1:14">
      <c r="A9" s="6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7"/>
    </row>
    <row r="10" spans="1:14">
      <c r="A10" s="6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7"/>
    </row>
    <row r="11" spans="1:14">
      <c r="A11" s="6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7"/>
    </row>
    <row r="12" spans="1:14">
      <c r="A12" s="6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7"/>
    </row>
    <row r="13" spans="1:14">
      <c r="A13" s="6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7"/>
    </row>
    <row r="14" spans="1:14">
      <c r="A14" s="6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7"/>
    </row>
    <row r="15" spans="1:14">
      <c r="A15" s="6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7"/>
    </row>
    <row r="16" spans="1:14">
      <c r="A16" s="6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7"/>
    </row>
    <row r="17" spans="1:14">
      <c r="A17" s="6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7"/>
    </row>
    <row r="18" spans="1:14">
      <c r="A18" s="6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7"/>
    </row>
    <row r="19" spans="1:14">
      <c r="A19" s="6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7"/>
    </row>
    <row r="20" spans="1:14">
      <c r="A20" s="6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7"/>
    </row>
    <row r="21" spans="1:14">
      <c r="A21" s="6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7"/>
    </row>
    <row r="22" spans="1:14">
      <c r="A22" s="6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7"/>
    </row>
    <row r="23" spans="1:14">
      <c r="A23" s="6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7"/>
    </row>
    <row r="24" spans="1:14">
      <c r="A24" s="6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7"/>
    </row>
    <row r="25" spans="1:14">
      <c r="A25" s="6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7"/>
    </row>
    <row r="26" spans="1:14">
      <c r="A26" s="6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7"/>
    </row>
    <row r="27" spans="1:14">
      <c r="A27" s="6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7"/>
    </row>
    <row r="28" spans="1:14">
      <c r="A28" s="6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7"/>
    </row>
    <row r="29" spans="1:14">
      <c r="A29" s="6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7"/>
    </row>
    <row r="30" spans="1:14">
      <c r="A30" s="6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7"/>
    </row>
    <row r="31" spans="1:14">
      <c r="A31" s="8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9"/>
    </row>
  </sheetData>
  <phoneticPr fontId="13" type="noConversion"/>
  <dataValidations count="1">
    <dataValidation type="list" sqref="K2:K31" xr:uid="{00000000-0002-0000-0600-000000000000}">
      <formula1>"过强,过弱,聚光过多,聚光不足,循环问题,牌序问题,伴生数量,费用问题,机制问题,正常"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5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6" customWidth="1"/>
    <col min="2" max="2" width="15" customWidth="1"/>
    <col min="3" max="3" width="16" customWidth="1"/>
    <col min="4" max="4" width="22" customWidth="1"/>
    <col min="5" max="5" width="8" customWidth="1"/>
    <col min="6" max="6" width="26" customWidth="1"/>
    <col min="7" max="7" width="42" customWidth="1"/>
    <col min="8" max="8" width="26" customWidth="1"/>
    <col min="9" max="9" width="10" customWidth="1"/>
    <col min="10" max="10" width="12" customWidth="1"/>
    <col min="11" max="11" width="62" customWidth="1"/>
  </cols>
  <sheetData>
    <row r="1" spans="1:11" ht="27.95" customHeight="1">
      <c r="A1" s="33" t="s">
        <v>489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2" spans="1:11">
      <c r="A2" s="32" t="s">
        <v>490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3" spans="1:11">
      <c r="A3" s="31" t="s">
        <v>491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spans="1:11">
      <c r="A4" s="30" t="s">
        <v>492</v>
      </c>
      <c r="B4" s="25"/>
      <c r="C4" s="25"/>
      <c r="D4" s="25"/>
      <c r="E4" s="25"/>
      <c r="F4" s="25"/>
      <c r="G4" s="25"/>
      <c r="H4" s="25"/>
      <c r="I4" s="25"/>
      <c r="J4" s="25"/>
      <c r="K4" s="25"/>
    </row>
    <row r="5" spans="1:11" ht="30" customHeight="1">
      <c r="A5" s="13" t="s">
        <v>493</v>
      </c>
      <c r="B5" s="13" t="s">
        <v>389</v>
      </c>
      <c r="C5" s="13" t="s">
        <v>494</v>
      </c>
      <c r="D5" s="13" t="s">
        <v>495</v>
      </c>
      <c r="E5" s="13" t="s">
        <v>245</v>
      </c>
      <c r="F5" s="13" t="s">
        <v>496</v>
      </c>
      <c r="G5" s="13" t="s">
        <v>497</v>
      </c>
      <c r="H5" s="13" t="s">
        <v>498</v>
      </c>
      <c r="I5" s="13" t="s">
        <v>499</v>
      </c>
      <c r="J5" s="13" t="s">
        <v>500</v>
      </c>
      <c r="K5" s="13" t="s">
        <v>254</v>
      </c>
    </row>
    <row r="6" spans="1:11" ht="28.5">
      <c r="A6" s="14">
        <v>1</v>
      </c>
      <c r="B6" s="14" t="s">
        <v>501</v>
      </c>
      <c r="C6" s="15" t="s">
        <v>71</v>
      </c>
      <c r="D6" s="16" t="s">
        <v>502</v>
      </c>
      <c r="E6" s="14" t="s">
        <v>261</v>
      </c>
      <c r="F6" s="3" t="s">
        <v>70</v>
      </c>
      <c r="G6" s="3" t="s">
        <v>503</v>
      </c>
      <c r="H6" s="3" t="s">
        <v>504</v>
      </c>
      <c r="I6" s="14" t="s">
        <v>505</v>
      </c>
      <c r="J6" s="20" t="s">
        <v>506</v>
      </c>
      <c r="K6" s="3" t="s">
        <v>507</v>
      </c>
    </row>
    <row r="7" spans="1:11" ht="28.5">
      <c r="A7" s="14">
        <v>2</v>
      </c>
      <c r="B7" s="14" t="s">
        <v>501</v>
      </c>
      <c r="C7" s="15" t="s">
        <v>89</v>
      </c>
      <c r="D7" s="16" t="s">
        <v>508</v>
      </c>
      <c r="E7" s="14" t="s">
        <v>267</v>
      </c>
      <c r="F7" s="3" t="s">
        <v>88</v>
      </c>
      <c r="G7" s="3" t="s">
        <v>509</v>
      </c>
      <c r="H7" s="3" t="s">
        <v>504</v>
      </c>
      <c r="I7" s="14" t="s">
        <v>505</v>
      </c>
      <c r="J7" s="20" t="s">
        <v>506</v>
      </c>
      <c r="K7" s="3" t="s">
        <v>510</v>
      </c>
    </row>
    <row r="8" spans="1:11" ht="28.5">
      <c r="A8" s="14">
        <v>3</v>
      </c>
      <c r="B8" s="14" t="s">
        <v>501</v>
      </c>
      <c r="C8" s="15" t="s">
        <v>104</v>
      </c>
      <c r="D8" s="16" t="s">
        <v>511</v>
      </c>
      <c r="E8" s="14" t="s">
        <v>267</v>
      </c>
      <c r="F8" s="3" t="s">
        <v>70</v>
      </c>
      <c r="G8" s="3" t="s">
        <v>512</v>
      </c>
      <c r="H8" s="3" t="s">
        <v>504</v>
      </c>
      <c r="I8" s="14" t="s">
        <v>505</v>
      </c>
      <c r="J8" s="20" t="s">
        <v>506</v>
      </c>
      <c r="K8" s="3" t="s">
        <v>513</v>
      </c>
    </row>
    <row r="9" spans="1:11" ht="28.5">
      <c r="A9" s="14">
        <v>4</v>
      </c>
      <c r="B9" s="14" t="s">
        <v>501</v>
      </c>
      <c r="C9" s="15" t="s">
        <v>111</v>
      </c>
      <c r="D9" s="16" t="s">
        <v>514</v>
      </c>
      <c r="E9" s="14" t="s">
        <v>267</v>
      </c>
      <c r="F9" s="3" t="s">
        <v>88</v>
      </c>
      <c r="G9" s="3" t="s">
        <v>515</v>
      </c>
      <c r="H9" s="3" t="s">
        <v>504</v>
      </c>
      <c r="I9" s="14" t="s">
        <v>505</v>
      </c>
      <c r="J9" s="20" t="s">
        <v>506</v>
      </c>
      <c r="K9" s="3" t="s">
        <v>516</v>
      </c>
    </row>
    <row r="10" spans="1:11" ht="28.5">
      <c r="A10" s="14">
        <v>5</v>
      </c>
      <c r="B10" s="14" t="s">
        <v>501</v>
      </c>
      <c r="C10" s="15" t="s">
        <v>31</v>
      </c>
      <c r="D10" s="16" t="s">
        <v>517</v>
      </c>
      <c r="E10" s="14" t="s">
        <v>267</v>
      </c>
      <c r="F10" s="3" t="s">
        <v>70</v>
      </c>
      <c r="G10" s="3" t="s">
        <v>518</v>
      </c>
      <c r="H10" s="3" t="s">
        <v>504</v>
      </c>
      <c r="I10" s="14" t="s">
        <v>505</v>
      </c>
      <c r="J10" s="20" t="s">
        <v>506</v>
      </c>
      <c r="K10" s="3" t="s">
        <v>519</v>
      </c>
    </row>
    <row r="11" spans="1:11" ht="28.5">
      <c r="A11" s="14">
        <v>6</v>
      </c>
      <c r="B11" s="14" t="s">
        <v>501</v>
      </c>
      <c r="C11" s="15" t="s">
        <v>35</v>
      </c>
      <c r="D11" s="16" t="s">
        <v>520</v>
      </c>
      <c r="E11" s="14" t="s">
        <v>267</v>
      </c>
      <c r="F11" s="3" t="s">
        <v>88</v>
      </c>
      <c r="G11" s="3" t="s">
        <v>521</v>
      </c>
      <c r="H11" s="3" t="s">
        <v>504</v>
      </c>
      <c r="I11" s="14" t="s">
        <v>505</v>
      </c>
      <c r="J11" s="20" t="s">
        <v>506</v>
      </c>
      <c r="K11" s="3" t="s">
        <v>522</v>
      </c>
    </row>
    <row r="12" spans="1:11" ht="28.5">
      <c r="A12" s="14">
        <v>7</v>
      </c>
      <c r="B12" s="14" t="s">
        <v>501</v>
      </c>
      <c r="C12" s="15" t="s">
        <v>39</v>
      </c>
      <c r="D12" s="16" t="s">
        <v>523</v>
      </c>
      <c r="E12" s="14" t="s">
        <v>267</v>
      </c>
      <c r="F12" s="3" t="s">
        <v>70</v>
      </c>
      <c r="G12" s="3" t="s">
        <v>524</v>
      </c>
      <c r="H12" s="3" t="s">
        <v>504</v>
      </c>
      <c r="I12" s="14" t="s">
        <v>505</v>
      </c>
      <c r="J12" s="20" t="s">
        <v>506</v>
      </c>
      <c r="K12" s="3" t="s">
        <v>525</v>
      </c>
    </row>
    <row r="13" spans="1:11" ht="28.5">
      <c r="A13" s="14">
        <v>8</v>
      </c>
      <c r="B13" s="14" t="s">
        <v>501</v>
      </c>
      <c r="C13" s="15" t="s">
        <v>43</v>
      </c>
      <c r="D13" s="16" t="s">
        <v>526</v>
      </c>
      <c r="E13" s="14" t="s">
        <v>267</v>
      </c>
      <c r="F13" s="3" t="s">
        <v>140</v>
      </c>
      <c r="G13" s="3" t="s">
        <v>527</v>
      </c>
      <c r="H13" s="3" t="s">
        <v>504</v>
      </c>
      <c r="I13" s="14" t="s">
        <v>505</v>
      </c>
      <c r="J13" s="20" t="s">
        <v>506</v>
      </c>
      <c r="K13" s="3" t="s">
        <v>528</v>
      </c>
    </row>
    <row r="14" spans="1:11" ht="28.5">
      <c r="A14" s="14">
        <v>9</v>
      </c>
      <c r="B14" s="14" t="s">
        <v>501</v>
      </c>
      <c r="C14" s="15" t="s">
        <v>153</v>
      </c>
      <c r="D14" s="16" t="s">
        <v>529</v>
      </c>
      <c r="E14" s="14" t="s">
        <v>267</v>
      </c>
      <c r="F14" s="3" t="s">
        <v>140</v>
      </c>
      <c r="G14" s="3" t="s">
        <v>530</v>
      </c>
      <c r="H14" s="3" t="s">
        <v>504</v>
      </c>
      <c r="I14" s="14" t="s">
        <v>505</v>
      </c>
      <c r="J14" s="20" t="s">
        <v>506</v>
      </c>
      <c r="K14" s="3" t="s">
        <v>531</v>
      </c>
    </row>
    <row r="15" spans="1:11" ht="28.5">
      <c r="A15" s="14">
        <v>10</v>
      </c>
      <c r="B15" s="14" t="s">
        <v>501</v>
      </c>
      <c r="C15" s="15" t="s">
        <v>164</v>
      </c>
      <c r="D15" s="16" t="s">
        <v>532</v>
      </c>
      <c r="E15" s="14" t="s">
        <v>267</v>
      </c>
      <c r="F15" s="3" t="s">
        <v>163</v>
      </c>
      <c r="G15" s="3" t="s">
        <v>533</v>
      </c>
      <c r="H15" s="3" t="s">
        <v>504</v>
      </c>
      <c r="I15" s="14" t="s">
        <v>505</v>
      </c>
      <c r="J15" s="20" t="s">
        <v>506</v>
      </c>
      <c r="K15" s="3" t="s">
        <v>534</v>
      </c>
    </row>
    <row r="16" spans="1:11" ht="28.5">
      <c r="A16" s="14">
        <v>11</v>
      </c>
      <c r="B16" s="14" t="s">
        <v>501</v>
      </c>
      <c r="C16" s="15" t="s">
        <v>175</v>
      </c>
      <c r="D16" s="16" t="s">
        <v>535</v>
      </c>
      <c r="E16" s="14" t="s">
        <v>267</v>
      </c>
      <c r="F16" s="3" t="s">
        <v>163</v>
      </c>
      <c r="G16" s="3" t="s">
        <v>536</v>
      </c>
      <c r="H16" s="3" t="s">
        <v>504</v>
      </c>
      <c r="I16" s="14" t="s">
        <v>505</v>
      </c>
      <c r="J16" s="20" t="s">
        <v>506</v>
      </c>
      <c r="K16" s="3" t="s">
        <v>537</v>
      </c>
    </row>
    <row r="17" spans="1:11" ht="28.5">
      <c r="A17" s="14">
        <v>12</v>
      </c>
      <c r="B17" s="14" t="s">
        <v>501</v>
      </c>
      <c r="C17" s="15" t="s">
        <v>184</v>
      </c>
      <c r="D17" s="16" t="s">
        <v>538</v>
      </c>
      <c r="E17" s="14" t="s">
        <v>267</v>
      </c>
      <c r="F17" s="3" t="s">
        <v>163</v>
      </c>
      <c r="G17" s="3" t="s">
        <v>539</v>
      </c>
      <c r="H17" s="3" t="s">
        <v>504</v>
      </c>
      <c r="I17" s="14" t="s">
        <v>505</v>
      </c>
      <c r="J17" s="20" t="s">
        <v>506</v>
      </c>
      <c r="K17" s="3" t="s">
        <v>540</v>
      </c>
    </row>
    <row r="18" spans="1:11" ht="28.5">
      <c r="A18" s="14">
        <v>13</v>
      </c>
      <c r="B18" s="14" t="s">
        <v>501</v>
      </c>
      <c r="C18" s="15" t="s">
        <v>194</v>
      </c>
      <c r="D18" s="16" t="s">
        <v>541</v>
      </c>
      <c r="E18" s="14" t="s">
        <v>267</v>
      </c>
      <c r="F18" s="3" t="s">
        <v>163</v>
      </c>
      <c r="G18" s="3" t="s">
        <v>542</v>
      </c>
      <c r="H18" s="3" t="s">
        <v>504</v>
      </c>
      <c r="I18" s="14" t="s">
        <v>505</v>
      </c>
      <c r="J18" s="20" t="s">
        <v>506</v>
      </c>
      <c r="K18" s="3" t="s">
        <v>543</v>
      </c>
    </row>
    <row r="19" spans="1:11" ht="28.5">
      <c r="A19" s="14">
        <v>14</v>
      </c>
      <c r="B19" s="14" t="s">
        <v>501</v>
      </c>
      <c r="C19" s="15" t="s">
        <v>203</v>
      </c>
      <c r="D19" s="16" t="s">
        <v>544</v>
      </c>
      <c r="E19" s="14" t="s">
        <v>261</v>
      </c>
      <c r="F19" s="3" t="s">
        <v>202</v>
      </c>
      <c r="G19" s="3" t="s">
        <v>545</v>
      </c>
      <c r="H19" s="3" t="s">
        <v>504</v>
      </c>
      <c r="I19" s="14" t="s">
        <v>505</v>
      </c>
      <c r="J19" s="20" t="s">
        <v>506</v>
      </c>
      <c r="K19" s="3" t="s">
        <v>546</v>
      </c>
    </row>
    <row r="20" spans="1:11" ht="28.5">
      <c r="A20" s="14">
        <v>15</v>
      </c>
      <c r="B20" s="14" t="s">
        <v>501</v>
      </c>
      <c r="C20" s="15" t="s">
        <v>211</v>
      </c>
      <c r="D20" s="16" t="s">
        <v>547</v>
      </c>
      <c r="E20" s="14" t="s">
        <v>267</v>
      </c>
      <c r="F20" s="3" t="s">
        <v>210</v>
      </c>
      <c r="G20" s="3" t="s">
        <v>548</v>
      </c>
      <c r="H20" s="3" t="s">
        <v>504</v>
      </c>
      <c r="I20" s="14" t="s">
        <v>505</v>
      </c>
      <c r="J20" s="20" t="s">
        <v>506</v>
      </c>
      <c r="K20" s="3" t="s">
        <v>549</v>
      </c>
    </row>
    <row r="21" spans="1:11" ht="28.5">
      <c r="A21" s="14">
        <v>16</v>
      </c>
      <c r="B21" s="14" t="s">
        <v>501</v>
      </c>
      <c r="C21" s="15" t="s">
        <v>217</v>
      </c>
      <c r="D21" s="16" t="s">
        <v>550</v>
      </c>
      <c r="E21" s="14" t="s">
        <v>267</v>
      </c>
      <c r="F21" s="3" t="s">
        <v>202</v>
      </c>
      <c r="G21" s="3" t="s">
        <v>551</v>
      </c>
      <c r="H21" s="3" t="s">
        <v>504</v>
      </c>
      <c r="I21" s="14" t="s">
        <v>505</v>
      </c>
      <c r="J21" s="20" t="s">
        <v>506</v>
      </c>
      <c r="K21" s="3" t="s">
        <v>552</v>
      </c>
    </row>
    <row r="22" spans="1:11" ht="28.5">
      <c r="A22" s="14">
        <v>17</v>
      </c>
      <c r="B22" s="14" t="s">
        <v>501</v>
      </c>
      <c r="C22" s="15" t="s">
        <v>224</v>
      </c>
      <c r="D22" s="16" t="s">
        <v>553</v>
      </c>
      <c r="E22" s="14" t="s">
        <v>267</v>
      </c>
      <c r="F22" s="3" t="s">
        <v>202</v>
      </c>
      <c r="G22" s="3" t="s">
        <v>554</v>
      </c>
      <c r="H22" s="3" t="s">
        <v>504</v>
      </c>
      <c r="I22" s="14" t="s">
        <v>505</v>
      </c>
      <c r="J22" s="20" t="s">
        <v>506</v>
      </c>
      <c r="K22" s="3" t="s">
        <v>555</v>
      </c>
    </row>
    <row r="23" spans="1:11" ht="28.5">
      <c r="A23" s="14">
        <v>18</v>
      </c>
      <c r="B23" s="14" t="s">
        <v>501</v>
      </c>
      <c r="C23" s="15" t="s">
        <v>231</v>
      </c>
      <c r="D23" s="16" t="s">
        <v>556</v>
      </c>
      <c r="E23" s="14" t="s">
        <v>267</v>
      </c>
      <c r="F23" s="3" t="s">
        <v>202</v>
      </c>
      <c r="G23" s="3" t="s">
        <v>557</v>
      </c>
      <c r="H23" s="3" t="s">
        <v>504</v>
      </c>
      <c r="I23" s="14" t="s">
        <v>505</v>
      </c>
      <c r="J23" s="20" t="s">
        <v>506</v>
      </c>
      <c r="K23" s="3" t="s">
        <v>558</v>
      </c>
    </row>
    <row r="24" spans="1:11" ht="28.5">
      <c r="A24" s="14">
        <v>19</v>
      </c>
      <c r="B24" s="14" t="s">
        <v>501</v>
      </c>
      <c r="C24" s="15" t="s">
        <v>237</v>
      </c>
      <c r="D24" s="16" t="s">
        <v>559</v>
      </c>
      <c r="E24" s="14" t="s">
        <v>267</v>
      </c>
      <c r="F24" s="3" t="s">
        <v>202</v>
      </c>
      <c r="G24" s="3" t="s">
        <v>560</v>
      </c>
      <c r="H24" s="3" t="s">
        <v>504</v>
      </c>
      <c r="I24" s="14" t="s">
        <v>505</v>
      </c>
      <c r="J24" s="20" t="s">
        <v>506</v>
      </c>
      <c r="K24" s="3" t="s">
        <v>561</v>
      </c>
    </row>
    <row r="25" spans="1:11" ht="28.5">
      <c r="A25" s="14">
        <v>20</v>
      </c>
      <c r="B25" s="14" t="s">
        <v>562</v>
      </c>
      <c r="C25" s="15" t="s">
        <v>260</v>
      </c>
      <c r="D25" s="16" t="s">
        <v>563</v>
      </c>
      <c r="E25" s="14" t="s">
        <v>261</v>
      </c>
      <c r="F25" s="3" t="s">
        <v>564</v>
      </c>
      <c r="G25" s="3" t="s">
        <v>565</v>
      </c>
      <c r="H25" s="3" t="s">
        <v>504</v>
      </c>
      <c r="I25" s="14" t="s">
        <v>505</v>
      </c>
      <c r="J25" s="20" t="s">
        <v>506</v>
      </c>
      <c r="K25" s="3" t="s">
        <v>566</v>
      </c>
    </row>
    <row r="26" spans="1:11" ht="28.5">
      <c r="A26" s="14">
        <v>21</v>
      </c>
      <c r="B26" s="14" t="s">
        <v>562</v>
      </c>
      <c r="C26" s="15" t="s">
        <v>266</v>
      </c>
      <c r="D26" s="16" t="s">
        <v>567</v>
      </c>
      <c r="E26" s="14" t="s">
        <v>267</v>
      </c>
      <c r="F26" s="3" t="s">
        <v>568</v>
      </c>
      <c r="G26" s="3" t="s">
        <v>569</v>
      </c>
      <c r="H26" s="3" t="s">
        <v>504</v>
      </c>
      <c r="I26" s="14" t="s">
        <v>505</v>
      </c>
      <c r="J26" s="20" t="s">
        <v>506</v>
      </c>
      <c r="K26" s="3" t="s">
        <v>570</v>
      </c>
    </row>
    <row r="27" spans="1:11" ht="28.5">
      <c r="A27" s="14">
        <v>22</v>
      </c>
      <c r="B27" s="14" t="s">
        <v>562</v>
      </c>
      <c r="C27" s="15" t="s">
        <v>276</v>
      </c>
      <c r="D27" s="16" t="s">
        <v>571</v>
      </c>
      <c r="E27" s="14" t="s">
        <v>267</v>
      </c>
      <c r="F27" s="3" t="s">
        <v>572</v>
      </c>
      <c r="G27" s="3" t="s">
        <v>573</v>
      </c>
      <c r="H27" s="3" t="s">
        <v>504</v>
      </c>
      <c r="I27" s="14" t="s">
        <v>505</v>
      </c>
      <c r="J27" s="20" t="s">
        <v>506</v>
      </c>
      <c r="K27" s="3" t="s">
        <v>574</v>
      </c>
    </row>
    <row r="28" spans="1:11" ht="28.5">
      <c r="A28" s="14">
        <v>23</v>
      </c>
      <c r="B28" s="14" t="s">
        <v>562</v>
      </c>
      <c r="C28" s="15" t="s">
        <v>281</v>
      </c>
      <c r="D28" s="16" t="s">
        <v>575</v>
      </c>
      <c r="E28" s="14" t="s">
        <v>267</v>
      </c>
      <c r="F28" s="3" t="s">
        <v>576</v>
      </c>
      <c r="G28" s="3" t="s">
        <v>577</v>
      </c>
      <c r="H28" s="3" t="s">
        <v>504</v>
      </c>
      <c r="I28" s="14" t="s">
        <v>505</v>
      </c>
      <c r="J28" s="20" t="s">
        <v>506</v>
      </c>
      <c r="K28" s="3" t="s">
        <v>578</v>
      </c>
    </row>
    <row r="29" spans="1:11" ht="28.5">
      <c r="A29" s="14">
        <v>24</v>
      </c>
      <c r="B29" s="14" t="s">
        <v>562</v>
      </c>
      <c r="C29" s="15" t="s">
        <v>290</v>
      </c>
      <c r="D29" s="16" t="s">
        <v>579</v>
      </c>
      <c r="E29" s="14" t="s">
        <v>267</v>
      </c>
      <c r="F29" s="3" t="s">
        <v>580</v>
      </c>
      <c r="G29" s="3" t="s">
        <v>581</v>
      </c>
      <c r="H29" s="3" t="s">
        <v>504</v>
      </c>
      <c r="I29" s="14" t="s">
        <v>505</v>
      </c>
      <c r="J29" s="20" t="s">
        <v>506</v>
      </c>
      <c r="K29" s="3" t="s">
        <v>582</v>
      </c>
    </row>
    <row r="30" spans="1:11" ht="28.5">
      <c r="A30" s="14">
        <v>25</v>
      </c>
      <c r="B30" s="14" t="s">
        <v>562</v>
      </c>
      <c r="C30" s="15" t="s">
        <v>295</v>
      </c>
      <c r="D30" s="16" t="s">
        <v>583</v>
      </c>
      <c r="E30" s="14" t="s">
        <v>261</v>
      </c>
      <c r="F30" s="3" t="s">
        <v>584</v>
      </c>
      <c r="G30" s="3" t="s">
        <v>585</v>
      </c>
      <c r="H30" s="3" t="s">
        <v>504</v>
      </c>
      <c r="I30" s="14" t="s">
        <v>505</v>
      </c>
      <c r="J30" s="20" t="s">
        <v>506</v>
      </c>
      <c r="K30" s="3" t="s">
        <v>586</v>
      </c>
    </row>
    <row r="31" spans="1:11" ht="28.5">
      <c r="A31" s="14">
        <v>26</v>
      </c>
      <c r="B31" s="14" t="s">
        <v>562</v>
      </c>
      <c r="C31" s="15" t="s">
        <v>300</v>
      </c>
      <c r="D31" s="16" t="s">
        <v>587</v>
      </c>
      <c r="E31" s="14" t="s">
        <v>261</v>
      </c>
      <c r="F31" s="3" t="s">
        <v>588</v>
      </c>
      <c r="G31" s="3" t="s">
        <v>589</v>
      </c>
      <c r="H31" s="3" t="s">
        <v>504</v>
      </c>
      <c r="I31" s="14" t="s">
        <v>505</v>
      </c>
      <c r="J31" s="20" t="s">
        <v>506</v>
      </c>
      <c r="K31" s="3" t="s">
        <v>590</v>
      </c>
    </row>
    <row r="32" spans="1:11" ht="28.5">
      <c r="A32" s="14">
        <v>27</v>
      </c>
      <c r="B32" s="14" t="s">
        <v>562</v>
      </c>
      <c r="C32" s="15" t="s">
        <v>304</v>
      </c>
      <c r="D32" s="16" t="s">
        <v>591</v>
      </c>
      <c r="E32" s="14" t="s">
        <v>261</v>
      </c>
      <c r="F32" s="3" t="s">
        <v>592</v>
      </c>
      <c r="G32" s="3" t="s">
        <v>593</v>
      </c>
      <c r="H32" s="3" t="s">
        <v>504</v>
      </c>
      <c r="I32" s="14" t="s">
        <v>505</v>
      </c>
      <c r="J32" s="20" t="s">
        <v>506</v>
      </c>
      <c r="K32" s="3" t="s">
        <v>594</v>
      </c>
    </row>
    <row r="33" spans="1:11" ht="28.5">
      <c r="A33" s="14">
        <v>28</v>
      </c>
      <c r="B33" s="14" t="s">
        <v>562</v>
      </c>
      <c r="C33" s="15" t="s">
        <v>308</v>
      </c>
      <c r="D33" s="16" t="s">
        <v>595</v>
      </c>
      <c r="E33" s="14" t="s">
        <v>267</v>
      </c>
      <c r="F33" s="3" t="s">
        <v>592</v>
      </c>
      <c r="G33" s="3" t="s">
        <v>596</v>
      </c>
      <c r="H33" s="3" t="s">
        <v>504</v>
      </c>
      <c r="I33" s="14" t="s">
        <v>505</v>
      </c>
      <c r="J33" s="20" t="s">
        <v>506</v>
      </c>
      <c r="K33" s="3" t="s">
        <v>597</v>
      </c>
    </row>
    <row r="34" spans="1:11" ht="28.5">
      <c r="A34" s="14">
        <v>29</v>
      </c>
      <c r="B34" s="14" t="s">
        <v>562</v>
      </c>
      <c r="C34" s="15" t="s">
        <v>317</v>
      </c>
      <c r="D34" s="16" t="s">
        <v>598</v>
      </c>
      <c r="E34" s="14" t="s">
        <v>261</v>
      </c>
      <c r="F34" s="3" t="s">
        <v>599</v>
      </c>
      <c r="G34" s="3" t="s">
        <v>600</v>
      </c>
      <c r="H34" s="3" t="s">
        <v>504</v>
      </c>
      <c r="I34" s="14" t="s">
        <v>505</v>
      </c>
      <c r="J34" s="20" t="s">
        <v>506</v>
      </c>
      <c r="K34" s="3" t="s">
        <v>601</v>
      </c>
    </row>
    <row r="35" spans="1:11" ht="15">
      <c r="A35" s="14">
        <v>30</v>
      </c>
      <c r="B35" s="14" t="s">
        <v>562</v>
      </c>
      <c r="C35" s="15" t="s">
        <v>322</v>
      </c>
      <c r="D35" s="16" t="s">
        <v>602</v>
      </c>
      <c r="E35" s="14" t="s">
        <v>267</v>
      </c>
      <c r="F35" s="3" t="s">
        <v>599</v>
      </c>
      <c r="G35" s="3" t="s">
        <v>603</v>
      </c>
      <c r="H35" s="3" t="s">
        <v>504</v>
      </c>
      <c r="I35" s="14" t="s">
        <v>505</v>
      </c>
      <c r="J35" s="20" t="s">
        <v>506</v>
      </c>
      <c r="K35" s="3" t="s">
        <v>604</v>
      </c>
    </row>
    <row r="36" spans="1:11" ht="28.5">
      <c r="A36" s="14">
        <v>31</v>
      </c>
      <c r="B36" s="14" t="s">
        <v>562</v>
      </c>
      <c r="C36" s="15" t="s">
        <v>326</v>
      </c>
      <c r="D36" s="16" t="s">
        <v>605</v>
      </c>
      <c r="E36" s="14" t="s">
        <v>261</v>
      </c>
      <c r="F36" s="3" t="s">
        <v>606</v>
      </c>
      <c r="G36" s="3" t="s">
        <v>607</v>
      </c>
      <c r="H36" s="3" t="s">
        <v>504</v>
      </c>
      <c r="I36" s="14" t="s">
        <v>505</v>
      </c>
      <c r="J36" s="20" t="s">
        <v>506</v>
      </c>
      <c r="K36" s="3" t="s">
        <v>608</v>
      </c>
    </row>
    <row r="37" spans="1:11" ht="28.5">
      <c r="A37" s="14">
        <v>32</v>
      </c>
      <c r="B37" s="14" t="s">
        <v>562</v>
      </c>
      <c r="C37" s="15" t="s">
        <v>334</v>
      </c>
      <c r="D37" s="16" t="s">
        <v>609</v>
      </c>
      <c r="E37" s="14" t="s">
        <v>267</v>
      </c>
      <c r="F37" s="3" t="s">
        <v>610</v>
      </c>
      <c r="G37" s="3" t="s">
        <v>611</v>
      </c>
      <c r="H37" s="3" t="s">
        <v>504</v>
      </c>
      <c r="I37" s="14" t="s">
        <v>505</v>
      </c>
      <c r="J37" s="20" t="s">
        <v>506</v>
      </c>
      <c r="K37" s="3" t="s">
        <v>612</v>
      </c>
    </row>
    <row r="38" spans="1:11" ht="28.5">
      <c r="A38" s="14">
        <v>33</v>
      </c>
      <c r="B38" s="14" t="s">
        <v>562</v>
      </c>
      <c r="C38" s="15" t="s">
        <v>342</v>
      </c>
      <c r="D38" s="16" t="s">
        <v>613</v>
      </c>
      <c r="E38" s="14" t="s">
        <v>267</v>
      </c>
      <c r="F38" s="3" t="s">
        <v>614</v>
      </c>
      <c r="G38" s="3" t="s">
        <v>615</v>
      </c>
      <c r="H38" s="3" t="s">
        <v>504</v>
      </c>
      <c r="I38" s="14" t="s">
        <v>505</v>
      </c>
      <c r="J38" s="20" t="s">
        <v>506</v>
      </c>
      <c r="K38" s="3" t="s">
        <v>616</v>
      </c>
    </row>
    <row r="39" spans="1:11" ht="28.5">
      <c r="A39" s="14">
        <v>34</v>
      </c>
      <c r="B39" s="14" t="s">
        <v>562</v>
      </c>
      <c r="C39" s="15" t="s">
        <v>350</v>
      </c>
      <c r="D39" s="16" t="s">
        <v>617</v>
      </c>
      <c r="E39" s="14" t="s">
        <v>261</v>
      </c>
      <c r="F39" s="3" t="s">
        <v>618</v>
      </c>
      <c r="G39" s="3" t="s">
        <v>619</v>
      </c>
      <c r="H39" s="3" t="s">
        <v>504</v>
      </c>
      <c r="I39" s="14" t="s">
        <v>505</v>
      </c>
      <c r="J39" s="20" t="s">
        <v>506</v>
      </c>
      <c r="K39" s="3" t="s">
        <v>620</v>
      </c>
    </row>
    <row r="40" spans="1:11" ht="28.5">
      <c r="A40" s="14">
        <v>35</v>
      </c>
      <c r="B40" s="14" t="s">
        <v>562</v>
      </c>
      <c r="C40" s="15" t="s">
        <v>354</v>
      </c>
      <c r="D40" s="16" t="s">
        <v>621</v>
      </c>
      <c r="E40" s="14" t="s">
        <v>267</v>
      </c>
      <c r="F40" s="3" t="s">
        <v>618</v>
      </c>
      <c r="G40" s="3" t="s">
        <v>622</v>
      </c>
      <c r="H40" s="3" t="s">
        <v>504</v>
      </c>
      <c r="I40" s="14" t="s">
        <v>505</v>
      </c>
      <c r="J40" s="20" t="s">
        <v>506</v>
      </c>
      <c r="K40" s="3" t="s">
        <v>623</v>
      </c>
    </row>
    <row r="41" spans="1:11" ht="28.5">
      <c r="A41" s="14">
        <v>36</v>
      </c>
      <c r="B41" s="14" t="s">
        <v>624</v>
      </c>
      <c r="C41" s="15" t="s">
        <v>359</v>
      </c>
      <c r="D41" s="16" t="s">
        <v>625</v>
      </c>
      <c r="E41" s="14" t="s">
        <v>76</v>
      </c>
      <c r="F41" s="3" t="s">
        <v>626</v>
      </c>
      <c r="G41" s="3" t="s">
        <v>627</v>
      </c>
      <c r="H41" s="3" t="s">
        <v>76</v>
      </c>
      <c r="I41" s="14" t="s">
        <v>628</v>
      </c>
      <c r="J41" s="14" t="s">
        <v>629</v>
      </c>
      <c r="K41" s="3" t="s">
        <v>630</v>
      </c>
    </row>
    <row r="42" spans="1:11" ht="28.5">
      <c r="A42" s="14">
        <v>37</v>
      </c>
      <c r="B42" s="14" t="s">
        <v>624</v>
      </c>
      <c r="C42" s="15" t="s">
        <v>363</v>
      </c>
      <c r="D42" s="16" t="s">
        <v>631</v>
      </c>
      <c r="E42" s="14" t="s">
        <v>76</v>
      </c>
      <c r="F42" s="3" t="s">
        <v>632</v>
      </c>
      <c r="G42" s="3" t="s">
        <v>633</v>
      </c>
      <c r="H42" s="3" t="s">
        <v>76</v>
      </c>
      <c r="I42" s="14" t="s">
        <v>628</v>
      </c>
      <c r="J42" s="14" t="s">
        <v>629</v>
      </c>
      <c r="K42" s="3" t="s">
        <v>634</v>
      </c>
    </row>
    <row r="43" spans="1:11" ht="28.5">
      <c r="A43" s="14">
        <v>38</v>
      </c>
      <c r="B43" s="14" t="s">
        <v>562</v>
      </c>
      <c r="C43" s="15" t="s">
        <v>367</v>
      </c>
      <c r="D43" s="16" t="s">
        <v>635</v>
      </c>
      <c r="E43" s="14" t="s">
        <v>267</v>
      </c>
      <c r="F43" s="3" t="s">
        <v>636</v>
      </c>
      <c r="G43" s="3" t="s">
        <v>637</v>
      </c>
      <c r="H43" s="3" t="s">
        <v>504</v>
      </c>
      <c r="I43" s="14" t="s">
        <v>505</v>
      </c>
      <c r="J43" s="20" t="s">
        <v>506</v>
      </c>
      <c r="K43" s="3" t="s">
        <v>638</v>
      </c>
    </row>
    <row r="44" spans="1:11" ht="15">
      <c r="A44" s="14">
        <v>39</v>
      </c>
      <c r="B44" s="14" t="s">
        <v>562</v>
      </c>
      <c r="C44" s="15" t="s">
        <v>371</v>
      </c>
      <c r="D44" s="16" t="s">
        <v>639</v>
      </c>
      <c r="E44" s="14" t="s">
        <v>267</v>
      </c>
      <c r="F44" s="3" t="s">
        <v>640</v>
      </c>
      <c r="G44" s="3" t="s">
        <v>641</v>
      </c>
      <c r="H44" s="3" t="s">
        <v>504</v>
      </c>
      <c r="I44" s="14" t="s">
        <v>505</v>
      </c>
      <c r="J44" s="20" t="s">
        <v>506</v>
      </c>
      <c r="K44" s="3" t="s">
        <v>642</v>
      </c>
    </row>
    <row r="45" spans="1:11" ht="28.5">
      <c r="A45" s="14">
        <v>40</v>
      </c>
      <c r="B45" s="14" t="s">
        <v>562</v>
      </c>
      <c r="C45" s="15" t="s">
        <v>375</v>
      </c>
      <c r="D45" s="16" t="s">
        <v>643</v>
      </c>
      <c r="E45" s="14" t="s">
        <v>267</v>
      </c>
      <c r="F45" s="3" t="s">
        <v>640</v>
      </c>
      <c r="G45" s="3" t="s">
        <v>644</v>
      </c>
      <c r="H45" s="3" t="s">
        <v>504</v>
      </c>
      <c r="I45" s="14" t="s">
        <v>505</v>
      </c>
      <c r="J45" s="20" t="s">
        <v>506</v>
      </c>
      <c r="K45" s="3" t="s">
        <v>645</v>
      </c>
    </row>
    <row r="46" spans="1:11" ht="28.5">
      <c r="A46" s="14">
        <v>41</v>
      </c>
      <c r="B46" s="14" t="s">
        <v>562</v>
      </c>
      <c r="C46" s="15" t="s">
        <v>378</v>
      </c>
      <c r="D46" s="16" t="s">
        <v>646</v>
      </c>
      <c r="E46" s="14" t="s">
        <v>267</v>
      </c>
      <c r="F46" s="3" t="s">
        <v>647</v>
      </c>
      <c r="G46" s="3" t="s">
        <v>648</v>
      </c>
      <c r="H46" s="3" t="s">
        <v>504</v>
      </c>
      <c r="I46" s="14" t="s">
        <v>505</v>
      </c>
      <c r="J46" s="20" t="s">
        <v>506</v>
      </c>
      <c r="K46" s="3" t="s">
        <v>649</v>
      </c>
    </row>
    <row r="47" spans="1:11" ht="28.5">
      <c r="A47" s="14">
        <v>42</v>
      </c>
      <c r="B47" s="14" t="s">
        <v>562</v>
      </c>
      <c r="C47" s="15" t="s">
        <v>382</v>
      </c>
      <c r="D47" s="16" t="s">
        <v>650</v>
      </c>
      <c r="E47" s="14" t="s">
        <v>267</v>
      </c>
      <c r="F47" s="3" t="s">
        <v>651</v>
      </c>
      <c r="G47" s="3" t="s">
        <v>652</v>
      </c>
      <c r="H47" s="3" t="s">
        <v>504</v>
      </c>
      <c r="I47" s="14" t="s">
        <v>505</v>
      </c>
      <c r="J47" s="20" t="s">
        <v>506</v>
      </c>
      <c r="K47" s="3" t="s">
        <v>653</v>
      </c>
    </row>
    <row r="48" spans="1:11" ht="28.5">
      <c r="A48" s="14">
        <v>43</v>
      </c>
      <c r="B48" s="14" t="s">
        <v>562</v>
      </c>
      <c r="C48" s="15" t="s">
        <v>47</v>
      </c>
      <c r="D48" s="16" t="s">
        <v>654</v>
      </c>
      <c r="E48" s="14" t="s">
        <v>267</v>
      </c>
      <c r="F48" s="3" t="s">
        <v>651</v>
      </c>
      <c r="G48" s="3" t="s">
        <v>655</v>
      </c>
      <c r="H48" s="3" t="s">
        <v>504</v>
      </c>
      <c r="I48" s="14" t="s">
        <v>505</v>
      </c>
      <c r="J48" s="20" t="s">
        <v>506</v>
      </c>
      <c r="K48" s="3" t="s">
        <v>656</v>
      </c>
    </row>
    <row r="49" spans="1:11" ht="57">
      <c r="A49" s="14">
        <v>44</v>
      </c>
      <c r="B49" s="14" t="s">
        <v>657</v>
      </c>
      <c r="C49" s="15" t="s">
        <v>658</v>
      </c>
      <c r="D49" s="16" t="s">
        <v>659</v>
      </c>
      <c r="E49" s="14" t="s">
        <v>660</v>
      </c>
      <c r="F49" s="3" t="s">
        <v>661</v>
      </c>
      <c r="G49" s="3" t="s">
        <v>662</v>
      </c>
      <c r="H49" s="3" t="s">
        <v>663</v>
      </c>
      <c r="I49" s="14" t="s">
        <v>505</v>
      </c>
      <c r="J49" s="20" t="s">
        <v>506</v>
      </c>
      <c r="K49" s="3" t="s">
        <v>664</v>
      </c>
    </row>
    <row r="50" spans="1:11" ht="28.5">
      <c r="A50" s="14">
        <v>45</v>
      </c>
      <c r="B50" s="14" t="s">
        <v>665</v>
      </c>
      <c r="C50" s="15" t="s">
        <v>666</v>
      </c>
      <c r="D50" s="16" t="s">
        <v>667</v>
      </c>
      <c r="E50" s="14" t="s">
        <v>668</v>
      </c>
      <c r="F50" s="3" t="s">
        <v>669</v>
      </c>
      <c r="G50" s="3" t="s">
        <v>670</v>
      </c>
      <c r="H50" s="3" t="s">
        <v>671</v>
      </c>
      <c r="I50" s="17" t="s">
        <v>672</v>
      </c>
      <c r="J50" s="14" t="s">
        <v>673</v>
      </c>
      <c r="K50" s="3" t="s">
        <v>674</v>
      </c>
    </row>
    <row r="51" spans="1:11" ht="30">
      <c r="A51" s="14">
        <v>46</v>
      </c>
      <c r="B51" s="14" t="s">
        <v>665</v>
      </c>
      <c r="C51" s="15" t="s">
        <v>675</v>
      </c>
      <c r="D51" s="16" t="s">
        <v>676</v>
      </c>
      <c r="E51" s="14" t="s">
        <v>668</v>
      </c>
      <c r="F51" s="3" t="s">
        <v>677</v>
      </c>
      <c r="G51" s="3" t="s">
        <v>678</v>
      </c>
      <c r="H51" s="3" t="s">
        <v>671</v>
      </c>
      <c r="I51" s="17" t="s">
        <v>672</v>
      </c>
      <c r="J51" s="14" t="s">
        <v>673</v>
      </c>
      <c r="K51" s="3" t="s">
        <v>674</v>
      </c>
    </row>
    <row r="52" spans="1:11" ht="28.5">
      <c r="A52" s="14">
        <v>47</v>
      </c>
      <c r="B52" s="14" t="s">
        <v>665</v>
      </c>
      <c r="C52" s="15" t="s">
        <v>679</v>
      </c>
      <c r="D52" s="16" t="s">
        <v>680</v>
      </c>
      <c r="E52" s="14" t="s">
        <v>668</v>
      </c>
      <c r="F52" s="3" t="s">
        <v>681</v>
      </c>
      <c r="G52" s="3" t="s">
        <v>682</v>
      </c>
      <c r="H52" s="3" t="s">
        <v>671</v>
      </c>
      <c r="I52" s="17" t="s">
        <v>672</v>
      </c>
      <c r="J52" s="14" t="s">
        <v>673</v>
      </c>
      <c r="K52" s="3" t="s">
        <v>674</v>
      </c>
    </row>
    <row r="53" spans="1:11" ht="28.5">
      <c r="A53" s="14">
        <v>48</v>
      </c>
      <c r="B53" s="14" t="s">
        <v>665</v>
      </c>
      <c r="C53" s="15" t="s">
        <v>683</v>
      </c>
      <c r="D53" s="16" t="s">
        <v>684</v>
      </c>
      <c r="E53" s="14" t="s">
        <v>668</v>
      </c>
      <c r="F53" s="3" t="s">
        <v>685</v>
      </c>
      <c r="G53" s="3" t="s">
        <v>686</v>
      </c>
      <c r="H53" s="3" t="s">
        <v>671</v>
      </c>
      <c r="I53" s="17" t="s">
        <v>672</v>
      </c>
      <c r="J53" s="14" t="s">
        <v>673</v>
      </c>
      <c r="K53" s="3" t="s">
        <v>674</v>
      </c>
    </row>
    <row r="54" spans="1:11" ht="28.5">
      <c r="A54" s="14">
        <v>49</v>
      </c>
      <c r="B54" s="14" t="s">
        <v>665</v>
      </c>
      <c r="C54" s="15" t="s">
        <v>687</v>
      </c>
      <c r="D54" s="16" t="s">
        <v>688</v>
      </c>
      <c r="E54" s="14" t="s">
        <v>668</v>
      </c>
      <c r="F54" s="3" t="s">
        <v>689</v>
      </c>
      <c r="G54" s="3" t="s">
        <v>690</v>
      </c>
      <c r="H54" s="3" t="s">
        <v>671</v>
      </c>
      <c r="I54" s="17" t="s">
        <v>672</v>
      </c>
      <c r="J54" s="14" t="s">
        <v>673</v>
      </c>
      <c r="K54" s="3" t="s">
        <v>674</v>
      </c>
    </row>
    <row r="55" spans="1:11" ht="28.5">
      <c r="A55" s="14">
        <v>50</v>
      </c>
      <c r="B55" s="14" t="s">
        <v>665</v>
      </c>
      <c r="C55" s="15" t="s">
        <v>691</v>
      </c>
      <c r="D55" s="16" t="s">
        <v>692</v>
      </c>
      <c r="E55" s="14" t="s">
        <v>668</v>
      </c>
      <c r="F55" s="3" t="s">
        <v>693</v>
      </c>
      <c r="G55" s="3" t="s">
        <v>694</v>
      </c>
      <c r="H55" s="3" t="s">
        <v>671</v>
      </c>
      <c r="I55" s="17" t="s">
        <v>672</v>
      </c>
      <c r="J55" s="14" t="s">
        <v>673</v>
      </c>
      <c r="K55" s="3" t="s">
        <v>674</v>
      </c>
    </row>
    <row r="56" spans="1:11" ht="28.5">
      <c r="A56" s="14">
        <v>51</v>
      </c>
      <c r="B56" s="14" t="s">
        <v>665</v>
      </c>
      <c r="C56" s="15" t="s">
        <v>695</v>
      </c>
      <c r="D56" s="16" t="s">
        <v>696</v>
      </c>
      <c r="E56" s="14" t="s">
        <v>668</v>
      </c>
      <c r="F56" s="3" t="s">
        <v>697</v>
      </c>
      <c r="G56" s="3" t="s">
        <v>698</v>
      </c>
      <c r="H56" s="3" t="s">
        <v>671</v>
      </c>
      <c r="I56" s="17" t="s">
        <v>672</v>
      </c>
      <c r="J56" s="14" t="s">
        <v>673</v>
      </c>
      <c r="K56" s="3" t="s">
        <v>674</v>
      </c>
    </row>
    <row r="57" spans="1:11" ht="28.5">
      <c r="A57" s="14">
        <v>52</v>
      </c>
      <c r="B57" s="14" t="s">
        <v>665</v>
      </c>
      <c r="C57" s="15" t="s">
        <v>699</v>
      </c>
      <c r="D57" s="16" t="s">
        <v>700</v>
      </c>
      <c r="E57" s="14" t="s">
        <v>668</v>
      </c>
      <c r="F57" s="3" t="s">
        <v>701</v>
      </c>
      <c r="G57" s="3" t="s">
        <v>702</v>
      </c>
      <c r="H57" s="3" t="s">
        <v>671</v>
      </c>
      <c r="I57" s="17" t="s">
        <v>672</v>
      </c>
      <c r="J57" s="14" t="s">
        <v>673</v>
      </c>
      <c r="K57" s="3" t="s">
        <v>674</v>
      </c>
    </row>
    <row r="58" spans="1:11" ht="28.5">
      <c r="A58" s="14">
        <v>53</v>
      </c>
      <c r="B58" s="14" t="s">
        <v>665</v>
      </c>
      <c r="C58" s="15" t="s">
        <v>703</v>
      </c>
      <c r="D58" s="16" t="s">
        <v>704</v>
      </c>
      <c r="E58" s="14" t="s">
        <v>668</v>
      </c>
      <c r="F58" s="3" t="s">
        <v>705</v>
      </c>
      <c r="G58" s="3" t="s">
        <v>706</v>
      </c>
      <c r="H58" s="3" t="s">
        <v>671</v>
      </c>
      <c r="I58" s="17" t="s">
        <v>672</v>
      </c>
      <c r="J58" s="14" t="s">
        <v>673</v>
      </c>
      <c r="K58" s="3" t="s">
        <v>674</v>
      </c>
    </row>
    <row r="59" spans="1:11" ht="28.5">
      <c r="A59" s="14">
        <v>54</v>
      </c>
      <c r="B59" s="14" t="s">
        <v>665</v>
      </c>
      <c r="C59" s="15" t="s">
        <v>707</v>
      </c>
      <c r="D59" s="16" t="s">
        <v>708</v>
      </c>
      <c r="E59" s="14" t="s">
        <v>668</v>
      </c>
      <c r="F59" s="3" t="s">
        <v>709</v>
      </c>
      <c r="G59" s="3" t="s">
        <v>710</v>
      </c>
      <c r="H59" s="3" t="s">
        <v>671</v>
      </c>
      <c r="I59" s="17" t="s">
        <v>672</v>
      </c>
      <c r="J59" s="14" t="s">
        <v>673</v>
      </c>
      <c r="K59" s="3" t="s">
        <v>674</v>
      </c>
    </row>
    <row r="60" spans="1:11" ht="28.5">
      <c r="A60" s="14">
        <v>55</v>
      </c>
      <c r="B60" s="14" t="s">
        <v>665</v>
      </c>
      <c r="C60" s="15" t="s">
        <v>711</v>
      </c>
      <c r="D60" s="16" t="s">
        <v>712</v>
      </c>
      <c r="E60" s="14" t="s">
        <v>668</v>
      </c>
      <c r="F60" s="3" t="s">
        <v>713</v>
      </c>
      <c r="G60" s="3" t="s">
        <v>714</v>
      </c>
      <c r="H60" s="3" t="s">
        <v>671</v>
      </c>
      <c r="I60" s="17" t="s">
        <v>672</v>
      </c>
      <c r="J60" s="14" t="s">
        <v>673</v>
      </c>
      <c r="K60" s="3" t="s">
        <v>674</v>
      </c>
    </row>
    <row r="61" spans="1:11" ht="28.5">
      <c r="A61" s="14">
        <v>56</v>
      </c>
      <c r="B61" s="14" t="s">
        <v>665</v>
      </c>
      <c r="C61" s="15" t="s">
        <v>715</v>
      </c>
      <c r="D61" s="16" t="s">
        <v>716</v>
      </c>
      <c r="E61" s="14" t="s">
        <v>668</v>
      </c>
      <c r="F61" s="3" t="s">
        <v>717</v>
      </c>
      <c r="G61" s="3" t="s">
        <v>718</v>
      </c>
      <c r="H61" s="3" t="s">
        <v>671</v>
      </c>
      <c r="I61" s="17" t="s">
        <v>672</v>
      </c>
      <c r="J61" s="14" t="s">
        <v>673</v>
      </c>
      <c r="K61" s="3" t="s">
        <v>674</v>
      </c>
    </row>
    <row r="62" spans="1:11" ht="28.5">
      <c r="A62" s="14">
        <v>57</v>
      </c>
      <c r="B62" s="14" t="s">
        <v>665</v>
      </c>
      <c r="C62" s="15" t="s">
        <v>719</v>
      </c>
      <c r="D62" s="16" t="s">
        <v>720</v>
      </c>
      <c r="E62" s="14" t="s">
        <v>668</v>
      </c>
      <c r="F62" s="3" t="s">
        <v>721</v>
      </c>
      <c r="G62" s="3" t="s">
        <v>722</v>
      </c>
      <c r="H62" s="3" t="s">
        <v>671</v>
      </c>
      <c r="I62" s="17" t="s">
        <v>672</v>
      </c>
      <c r="J62" s="14" t="s">
        <v>673</v>
      </c>
      <c r="K62" s="3" t="s">
        <v>674</v>
      </c>
    </row>
    <row r="63" spans="1:11" ht="30">
      <c r="A63" s="14">
        <v>58</v>
      </c>
      <c r="B63" s="14" t="s">
        <v>665</v>
      </c>
      <c r="C63" s="15" t="s">
        <v>723</v>
      </c>
      <c r="D63" s="16" t="s">
        <v>724</v>
      </c>
      <c r="E63" s="14" t="s">
        <v>668</v>
      </c>
      <c r="F63" s="3" t="s">
        <v>725</v>
      </c>
      <c r="G63" s="3" t="s">
        <v>726</v>
      </c>
      <c r="H63" s="3" t="s">
        <v>671</v>
      </c>
      <c r="I63" s="17" t="s">
        <v>672</v>
      </c>
      <c r="J63" s="14" t="s">
        <v>673</v>
      </c>
      <c r="K63" s="3" t="s">
        <v>674</v>
      </c>
    </row>
    <row r="64" spans="1:11" ht="28.5">
      <c r="A64" s="14">
        <v>59</v>
      </c>
      <c r="B64" s="14" t="s">
        <v>665</v>
      </c>
      <c r="C64" s="15" t="s">
        <v>727</v>
      </c>
      <c r="D64" s="16" t="s">
        <v>728</v>
      </c>
      <c r="E64" s="14" t="s">
        <v>668</v>
      </c>
      <c r="F64" s="3" t="s">
        <v>729</v>
      </c>
      <c r="G64" s="3" t="s">
        <v>730</v>
      </c>
      <c r="H64" s="3" t="s">
        <v>671</v>
      </c>
      <c r="I64" s="17" t="s">
        <v>672</v>
      </c>
      <c r="J64" s="14" t="s">
        <v>673</v>
      </c>
      <c r="K64" s="3" t="s">
        <v>674</v>
      </c>
    </row>
    <row r="65" spans="1:11" ht="28.5">
      <c r="A65" s="14">
        <v>60</v>
      </c>
      <c r="B65" s="14" t="s">
        <v>665</v>
      </c>
      <c r="C65" s="15" t="s">
        <v>731</v>
      </c>
      <c r="D65" s="16" t="s">
        <v>732</v>
      </c>
      <c r="E65" s="14" t="s">
        <v>668</v>
      </c>
      <c r="F65" s="3" t="s">
        <v>733</v>
      </c>
      <c r="G65" s="3" t="s">
        <v>734</v>
      </c>
      <c r="H65" s="3" t="s">
        <v>671</v>
      </c>
      <c r="I65" s="17" t="s">
        <v>672</v>
      </c>
      <c r="J65" s="14" t="s">
        <v>673</v>
      </c>
      <c r="K65" s="3" t="s">
        <v>674</v>
      </c>
    </row>
    <row r="66" spans="1:11" ht="28.5">
      <c r="A66" s="14">
        <v>61</v>
      </c>
      <c r="B66" s="14" t="s">
        <v>665</v>
      </c>
      <c r="C66" s="15" t="s">
        <v>735</v>
      </c>
      <c r="D66" s="16" t="s">
        <v>736</v>
      </c>
      <c r="E66" s="14" t="s">
        <v>668</v>
      </c>
      <c r="F66" s="3" t="s">
        <v>677</v>
      </c>
      <c r="G66" s="3" t="s">
        <v>737</v>
      </c>
      <c r="H66" s="3" t="s">
        <v>671</v>
      </c>
      <c r="I66" s="17" t="s">
        <v>672</v>
      </c>
      <c r="J66" s="14" t="s">
        <v>673</v>
      </c>
      <c r="K66" s="3" t="s">
        <v>674</v>
      </c>
    </row>
    <row r="68" spans="1:11" ht="15.75">
      <c r="A68" s="18" t="s">
        <v>738</v>
      </c>
    </row>
    <row r="69" spans="1:11" ht="15">
      <c r="A69" s="13" t="s">
        <v>389</v>
      </c>
      <c r="B69" s="13" t="s">
        <v>739</v>
      </c>
      <c r="C69" s="13" t="s">
        <v>505</v>
      </c>
      <c r="D69" s="13" t="s">
        <v>672</v>
      </c>
    </row>
    <row r="70" spans="1:11" ht="28.5">
      <c r="A70" s="3" t="s">
        <v>501</v>
      </c>
      <c r="B70" s="14">
        <v>19</v>
      </c>
      <c r="C70" s="14">
        <v>19</v>
      </c>
      <c r="D70" s="14">
        <v>0</v>
      </c>
    </row>
    <row r="71" spans="1:11" ht="42.75">
      <c r="A71" s="3" t="s">
        <v>562</v>
      </c>
      <c r="B71" s="14">
        <v>22</v>
      </c>
      <c r="C71" s="14">
        <v>22</v>
      </c>
      <c r="D71" s="14">
        <v>0</v>
      </c>
    </row>
    <row r="72" spans="1:11" ht="57">
      <c r="A72" s="3" t="s">
        <v>740</v>
      </c>
      <c r="B72" s="14">
        <v>1</v>
      </c>
      <c r="C72" s="14">
        <v>1</v>
      </c>
      <c r="D72" s="14">
        <v>0</v>
      </c>
    </row>
    <row r="73" spans="1:11" ht="30">
      <c r="A73" s="19" t="s">
        <v>741</v>
      </c>
      <c r="B73" s="20">
        <v>42</v>
      </c>
      <c r="C73" s="20">
        <v>42</v>
      </c>
      <c r="D73" s="20">
        <v>0</v>
      </c>
    </row>
    <row r="74" spans="1:11" ht="57">
      <c r="A74" s="3" t="s">
        <v>742</v>
      </c>
      <c r="B74" s="14">
        <v>17</v>
      </c>
      <c r="C74" s="14">
        <v>0</v>
      </c>
      <c r="D74" s="14">
        <v>17</v>
      </c>
    </row>
    <row r="75" spans="1:11" ht="45">
      <c r="A75" s="19" t="s">
        <v>743</v>
      </c>
      <c r="B75" s="20">
        <v>59</v>
      </c>
      <c r="C75" s="20">
        <v>42</v>
      </c>
      <c r="D75" s="20">
        <v>17</v>
      </c>
    </row>
    <row r="77" spans="1:11" ht="15.75">
      <c r="A77" s="18" t="s">
        <v>744</v>
      </c>
    </row>
    <row r="78" spans="1:11" ht="32.1" customHeight="1">
      <c r="A78" s="29" t="s">
        <v>745</v>
      </c>
      <c r="B78" s="25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32.1" customHeight="1">
      <c r="A79" s="29" t="s">
        <v>746</v>
      </c>
      <c r="B79" s="25"/>
      <c r="C79" s="25"/>
      <c r="D79" s="25"/>
      <c r="E79" s="25"/>
      <c r="F79" s="25"/>
      <c r="G79" s="25"/>
      <c r="H79" s="25"/>
      <c r="I79" s="25"/>
      <c r="J79" s="25"/>
      <c r="K79" s="25"/>
    </row>
    <row r="80" spans="1:11" ht="32.1" customHeight="1">
      <c r="A80" s="29" t="s">
        <v>747</v>
      </c>
      <c r="B80" s="25"/>
      <c r="C80" s="25"/>
      <c r="D80" s="25"/>
      <c r="E80" s="25"/>
      <c r="F80" s="25"/>
      <c r="G80" s="25"/>
      <c r="H80" s="25"/>
      <c r="I80" s="25"/>
      <c r="J80" s="25"/>
      <c r="K80" s="25"/>
    </row>
    <row r="81" spans="1:11" ht="32.1" customHeight="1">
      <c r="A81" s="29" t="s">
        <v>748</v>
      </c>
      <c r="B81" s="25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32.1" customHeight="1">
      <c r="A82" s="29" t="s">
        <v>749</v>
      </c>
      <c r="B82" s="25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32.1" customHeight="1">
      <c r="A83" s="29" t="s">
        <v>750</v>
      </c>
      <c r="B83" s="25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32.1" customHeight="1">
      <c r="A84" s="29" t="s">
        <v>751</v>
      </c>
      <c r="B84" s="25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45.95" customHeight="1">
      <c r="A85" s="29" t="s">
        <v>752</v>
      </c>
      <c r="B85" s="25"/>
      <c r="C85" s="25"/>
      <c r="D85" s="25"/>
      <c r="E85" s="25"/>
      <c r="F85" s="25"/>
      <c r="G85" s="25"/>
      <c r="H85" s="25"/>
      <c r="I85" s="25"/>
      <c r="J85" s="25"/>
      <c r="K85" s="25"/>
    </row>
  </sheetData>
  <mergeCells count="12">
    <mergeCell ref="A2:K2"/>
    <mergeCell ref="A80:K80"/>
    <mergeCell ref="A85:K85"/>
    <mergeCell ref="A84:K84"/>
    <mergeCell ref="A1:K1"/>
    <mergeCell ref="A79:K79"/>
    <mergeCell ref="A83:K83"/>
    <mergeCell ref="A4:K4"/>
    <mergeCell ref="A78:K78"/>
    <mergeCell ref="A3:K3"/>
    <mergeCell ref="A82:K82"/>
    <mergeCell ref="A81:K81"/>
  </mergeCells>
  <phoneticPr fontId="13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总览</vt:lpstr>
      <vt:lpstr>变更说明</vt:lpstr>
      <vt:lpstr>蛊虫设计</vt:lpstr>
      <vt:lpstr>伴生牌</vt:lpstr>
      <vt:lpstr>合练升炼</vt:lpstr>
      <vt:lpstr>机制与数值基准</vt:lpstr>
      <vt:lpstr>实测记录</vt:lpstr>
      <vt:lpstr>插图需求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哒 呵呵</cp:lastModifiedBy>
  <dcterms:created xsi:type="dcterms:W3CDTF">2026-09-19T10:24:11Z</dcterms:created>
  <dcterms:modified xsi:type="dcterms:W3CDTF">2026-09-19T13:53:11Z</dcterms:modified>
</cp:coreProperties>
</file>