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d5cdeee03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42727f168d8415a"/>
    <x:sheet xmlns:r="http://schemas.openxmlformats.org/officeDocument/2006/relationships" name="变更说明" sheetId="2" r:id="Rb60a06a5e6d7402b"/>
    <x:sheet xmlns:r="http://schemas.openxmlformats.org/officeDocument/2006/relationships" name="蛊虫设计" sheetId="3" r:id="Ra2af8d1fde064f3d"/>
    <x:sheet xmlns:r="http://schemas.openxmlformats.org/officeDocument/2006/relationships" name="伴生牌" sheetId="4" r:id="R21be37aa72d64c9e"/>
    <x:sheet xmlns:r="http://schemas.openxmlformats.org/officeDocument/2006/relationships" name="合练升炼" sheetId="5" r:id="Ra8bf3b7e24694605"/>
    <x:sheet xmlns:r="http://schemas.openxmlformats.org/officeDocument/2006/relationships" name="机制与数值基准" sheetId="6" r:id="R0c0b1aff776a441e"/>
    <x:sheet xmlns:r="http://schemas.openxmlformats.org/officeDocument/2006/relationships" name="实测记录" sheetId="7" r:id="R716a3233f99b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</x:fills>
  <x:borders count="24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1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18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/>
    <x:xf numFmtId="0" fontId="0" fillId="0" borderId="2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21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3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22" xfId="0" applyNumberFormat="1" applyFont="1" applyFill="1" applyBorder="1"/>
    <x:xf numFmtId="0" fontId="3" fillId="4" borderId="22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horizont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/>
    <x:xf numFmtId="0" fontId="3" fillId="4" borderId="23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horizont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8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E8F0FE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f99d28281434b" /><Relationship Type="http://schemas.openxmlformats.org/officeDocument/2006/relationships/theme" Target="/xl/theme/theme1.xml" Id="R1755c472a648476a" /><Relationship Type="http://schemas.openxmlformats.org/officeDocument/2006/relationships/sharedStrings" Target="/xl/sharedStrings.xml" Id="R575bfbd1d80b480f" /><Relationship Type="http://schemas.openxmlformats.org/officeDocument/2006/relationships/worksheet" Target="/xl/worksheets/sheet1.xml" Id="R942727f168d8415a" /><Relationship Type="http://schemas.openxmlformats.org/officeDocument/2006/relationships/worksheet" Target="/xl/worksheets/sheet2.xml" Id="Rb60a06a5e6d7402b" /><Relationship Type="http://schemas.openxmlformats.org/officeDocument/2006/relationships/worksheet" Target="/xl/worksheets/sheet3.xml" Id="Ra2af8d1fde064f3d" /><Relationship Type="http://schemas.openxmlformats.org/officeDocument/2006/relationships/worksheet" Target="/xl/worksheets/sheet4.xml" Id="R21be37aa72d64c9e" /><Relationship Type="http://schemas.openxmlformats.org/officeDocument/2006/relationships/worksheet" Target="/xl/worksheets/sheet5.xml" Id="Ra8bf3b7e24694605" /><Relationship Type="http://schemas.openxmlformats.org/officeDocument/2006/relationships/worksheet" Target="/xl/worksheets/sheet6.xml" Id="R0c0b1aff776a441e" /><Relationship Type="http://schemas.openxmlformats.org/officeDocument/2006/relationships/worksheet" Target="/xl/worksheets/sheet7.xml" Id="R716a3233f99b483e" /></Relationships>
</file>

<file path=xl/tables/table1.xml><?xml version="1.0" encoding="utf-8"?>
<x:table xmlns:x="http://schemas.openxmlformats.org/spreadsheetml/2006/main" id="1" name="GuDesignRepeatTable" displayName="GuDesignRepeatTable" ref="A1:R34" headerRowCount="1" totalsRowCount="0" totalsRowShown="0">
  <x:tableColumns count="18">
    <x:tableColumn id="1" name="DesignID"/>
    <x:tableColumn id="2" name="路线"/>
    <x:tableColumn id="3" name="蛊虫"/>
    <x:tableColumn id="4" name="转数"/>
    <x:tableColumn id="5" name="窗口"/>
    <x:tableColumn id="6" name="稀有度"/>
    <x:tableColumn id="7" name="来源"/>
    <x:tableColumn id="8" name="催动形态"/>
    <x:tableColumn id="9" name="元气"/>
    <x:tableColumn id="10" name="冷却"/>
    <x:tableColumn id="11" name="仙元"/>
    <x:tableColumn id="12" name="直接催动"/>
    <x:tableColumn id="13" name="伴生结构"/>
    <x:tableColumn id="14" name="催动增幅"/>
    <x:tableColumn id="15" name="定位"/>
    <x:tableColumn id="16" name="数值风险"/>
    <x:tableColumn id="17" name="实测状态"/>
    <x:tableColumn id="18" name="调整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ionRepeatTable" displayName="CompanionRepeatTable" ref="A1:T42" headerRowCount="1" totalsRowCount="0" totalsRowShown="0">
  <x:tableColumns count="20">
    <x:tableColumn id="1" name="CardID"/>
    <x:tableColumn id="2" name="路线"/>
    <x:tableColumn id="3" name="父蛊"/>
    <x:tableColumn id="4" name="转数"/>
    <x:tableColumn id="5" name="伴生牌"/>
    <x:tableColumn id="6" name="类型"/>
    <x:tableColumn id="7" name="数量"/>
    <x:tableColumn id="8" name="能量"/>
    <x:tableColumn id="9" name="基础伤害"/>
    <x:tableColumn id="10" name="基础格挡"/>
    <x:tableColumn id="11" name="折光伤害"/>
    <x:tableColumn id="12" name="折光格挡"/>
    <x:tableColumn id="13" name="折光功能"/>
    <x:tableColumn id="14" name="催动后强化"/>
    <x:tableColumn id="15" name="强化触发次数"/>
    <x:tableColumn id="16" name="备注"/>
    <x:tableColumn id="17" name="基础数值"/>
    <x:tableColumn id="18" name="自然折光总数值"/>
    <x:tableColumn id="19" name="聚光重复后总数值"/>
    <x:tableColumn id="20" name="可消耗聚光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ineRepeatTable" displayName="RefineRepeatTable" ref="A1:L13" headerRowCount="1" totalsRowCount="0" totalsRowShown="0">
  <x:tableColumns count="12">
    <x:tableColumn id="1" name="路线"/>
    <x:tableColumn id="2" name="类别"/>
    <x:tableColumn id="3" name="材料A"/>
    <x:tableColumn id="4" name="A转"/>
    <x:tableColumn id="5" name="材料B"/>
    <x:tableColumn id="6" name="B转"/>
    <x:tableColumn id="7" name="结果"/>
    <x:tableColumn id="8" name="结果转"/>
    <x:tableColumn id="9" name="公式结果"/>
    <x:tableColumn id="10" name="校验"/>
    <x:tableColumn id="11" name="来源说明"/>
    <x:tableColumn id="12" name="设计目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ytestRepeatTable" displayName="PlaytestRepeatTable" ref="A1:N31" headerRowCount="1" totalsRowCount="0" totalsRowShown="0">
  <x:tableColumns count="14">
    <x:tableColumn id="1" name="日期"/>
    <x:tableColumn id="2" name="版本/构筑"/>
    <x:tableColumn id="3" name="章节/敌人"/>
    <x:tableColumn id="4" name="蛊虫/伴生牌"/>
    <x:tableColumn id="5" name="转数"/>
    <x:tableColumn id="6" name="当前聚光峰值"/>
    <x:tableColumn id="7" name="重复折光次数/回合"/>
    <x:tableColumn id="8" name="当前牌组"/>
    <x:tableColumn id="9" name="观察项"/>
    <x:tableColumn id="10" name="实测结果"/>
    <x:tableColumn id="11" name="问题类型"/>
    <x:tableColumn id="12" name="建议调整"/>
    <x:tableColumn id="13" name="调整后数值"/>
    <x:tableColumn id="14" name="复测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c1a92d816f347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9292e2c2e3148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9ac06bf697541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069a5a0484b4404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8" customHeight="1">
      <x:c r="A1" s="5" t="str">
        <x:v>GuZhenRenRebuild 光道与月系卡牌设计｜聚光重复版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版本：2026-09-17 聚光重复机制版｜核心变更：聚光不再增加折光数值，改为有限次数的“折光段重复结算”</x:v>
      </x:c>
      <x:c r="B2" s="12"/>
      <x:c r="C2" s="12"/>
      <x:c r="D2" s="12"/>
      <x:c r="E2" s="12"/>
      <x:c r="F2" s="12"/>
      <x:c r="G2" s="12"/>
      <x:c r="H2" s="12"/>
    </x:row>
    <x:row r="4">
      <x:c r="A4" s="24" t="str">
        <x:v>项目</x:v>
      </x:c>
      <x:c r="B4" s="25" t="str">
        <x:v>数量</x:v>
      </x:c>
      <x:c r="D4" s="54" t="str">
        <x:v>新版聚光一句话</x:v>
      </x:c>
      <x:c r="E4" s="54"/>
      <x:c r="F4" s="54"/>
      <x:c r="G4" s="54"/>
      <x:c r="H4" s="54"/>
    </x:row>
    <x:row r="5">
      <x:c r="A5" s="40" t="str">
        <x:v>蛊虫类型</x:v>
      </x:c>
      <x:c r="B5" s="41" t="n">
        <x:v>19</x:v>
      </x:c>
      <x:c r="D5" s="75" t="str">
        <x:v>聚光 X：接下来X次“数值型折光”各自额外结算一次折光段；每次只消耗1层。纯功能折光既不消耗聚光，也不会被聚光重复。</x:v>
      </x:c>
      <x:c r="E5" s="76"/>
      <x:c r="F5" s="76"/>
      <x:c r="G5" s="76"/>
      <x:c r="H5" s="77"/>
    </x:row>
    <x:row r="6">
      <x:c r="A6" s="42" t="str">
        <x:v>转数配置行</x:v>
      </x:c>
      <x:c r="B6" s="43" t="n">
        <x:v>33</x:v>
      </x:c>
      <x:c r="D6" s="78"/>
      <x:c r="E6" s="79"/>
      <x:c r="F6" s="79"/>
      <x:c r="G6" s="79"/>
      <x:c r="H6" s="80"/>
    </x:row>
    <x:row r="7">
      <x:c r="A7" s="42" t="str">
        <x:v>伴生定义行</x:v>
      </x:c>
      <x:c r="B7" s="43" t="n">
        <x:v>41</x:v>
      </x:c>
      <x:c r="D7" s="81"/>
      <x:c r="E7" s="82"/>
      <x:c r="F7" s="82"/>
      <x:c r="G7" s="82"/>
      <x:c r="H7" s="83"/>
    </x:row>
    <x:row r="8">
      <x:c r="A8" s="44" t="str">
        <x:v>合练/升炼节点</x:v>
      </x:c>
      <x:c r="B8" s="45" t="n">
        <x:v>12</x:v>
      </x:c>
      <x:c r="D8" s="112" t="str">
        <x:v>判定在折光开始前完成；本次折光过程中生成的新聚光只能留给后续牌。</x:v>
      </x:c>
      <x:c r="E8" s="113"/>
      <x:c r="F8" s="113"/>
      <x:c r="G8" s="113"/>
      <x:c r="H8" s="114"/>
    </x:row>
    <x:row r="10">
      <x:c r="A10" s="54" t="str">
        <x:v>当前路线</x:v>
      </x:c>
      <x:c r="B10" s="54"/>
      <x:c r="C10" s="54"/>
      <x:c r="D10" s="54"/>
      <x:c r="E10" s="54"/>
      <x:c r="F10" s="54"/>
      <x:c r="G10" s="54"/>
      <x:c r="H10" s="54"/>
    </x:row>
    <x:row r="11">
      <x:c r="A11" s="112" t="str">
        <x:v>纯光：辉光(1–2) + 炫光(2) → 光虹(3)；光虹(3)+光源(3) → 聚光(4)；炫光(4)+借光(4) → 太光(5)</x:v>
      </x:c>
      <x:c r="B11" s="113"/>
      <x:c r="C11" s="113"/>
      <x:c r="D11" s="113"/>
      <x:c r="E11" s="113"/>
      <x:c r="F11" s="113"/>
      <x:c r="G11" s="113"/>
      <x:c r="H11" s="114"/>
    </x:row>
    <x:row r="12">
      <x:c r="A12" s="112" t="str">
        <x:v>月系：月光(1)+玉皮(1) → 月霓裳(2) → 皓月霓裳(3) → 宝月霓裳(4) → 宝月光王(5)</x:v>
      </x:c>
      <x:c r="B12" s="113"/>
      <x:c r="C12" s="113"/>
      <x:c r="D12" s="113"/>
      <x:c r="E12" s="113"/>
      <x:c r="F12" s="113"/>
      <x:c r="G12" s="113"/>
      <x:c r="H12" s="114"/>
    </x:row>
    <x:row r="13">
      <x:c r="A13" s="112" t="str">
        <x:v>六转并流：太光(5) + 宝月光王(5) → 恒光仙蛊(6–8)</x:v>
      </x:c>
      <x:c r="B13" s="113"/>
      <x:c r="C13" s="113"/>
      <x:c r="D13" s="113"/>
      <x:c r="E13" s="113"/>
      <x:c r="F13" s="113"/>
      <x:c r="G13" s="113"/>
      <x:c r="H13" s="114"/>
    </x:row>
    <x:row r="14">
      <x:c r="A14" s="112" t="str">
        <x:v>九转：恒光仙蛊(8) + 太光蛊(5) → 光蛊(9)</x:v>
      </x:c>
      <x:c r="B14" s="113"/>
      <x:c r="C14" s="113"/>
      <x:c r="D14" s="113"/>
      <x:c r="E14" s="113"/>
      <x:c r="F14" s="113"/>
      <x:c r="G14" s="113"/>
      <x:c r="H14" s="114"/>
    </x:row>
  </x:sheetData>
  <x:mergeCells>
    <x:mergeCell ref="A1:H1"/>
    <x:mergeCell ref="A2:H2"/>
    <x:mergeCell ref="D4:H4"/>
    <x:mergeCell ref="D5:H7"/>
    <x:mergeCell ref="D8:H8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8" hidden="0" customWidth="1"/>
    <x:col min="4" max="4" width="40" hidden="0" customWidth="1"/>
  </x:cols>
  <x:sheetData>
    <x:row r="1">
      <x:c r="A1" s="24" t="str">
        <x:v>项目</x:v>
      </x:c>
      <x:c r="B1" s="124" t="str">
        <x:v>旧版</x:v>
      </x:c>
      <x:c r="C1" s="124" t="str">
        <x:v>新版</x:v>
      </x:c>
      <x:c r="D1" s="25" t="str">
        <x:v>设计影响</x:v>
      </x:c>
    </x:row>
    <x:row r="2">
      <x:c r="A2" s="40" t="str">
        <x:v>聚光定义</x:v>
      </x:c>
      <x:c r="B2" s="129" t="str">
        <x:v>下一次数值型折光 +X，然后清零</x:v>
      </x:c>
      <x:c r="C2" s="129" t="str">
        <x:v>X次重复机会；每次数值型折光消耗1并重复折光段1次</x:v>
      </x:c>
      <x:c r="D2" s="41" t="str">
        <x:v>从线性加法变成离散的结算次数资源</x:v>
      </x:c>
    </x:row>
    <x:row r="3">
      <x:c r="A3" s="42" t="str">
        <x:v>聚光消耗</x:v>
      </x:c>
      <x:c r="B3" s="38" t="str">
        <x:v>一次使用全部清零</x:v>
      </x:c>
      <x:c r="C3" s="38" t="str">
        <x:v>每次只消耗1层</x:v>
      </x:c>
      <x:c r="D3" s="43" t="str">
        <x:v>可以把聚光分配给多张牌，而不是全压一张</x:v>
      </x:c>
    </x:row>
    <x:row r="4">
      <x:c r="A4" s="42" t="str">
        <x:v>纯功能折光</x:v>
      </x:c>
      <x:c r="B4" s="38" t="str">
        <x:v>不消耗旧聚光</x:v>
      </x:c>
      <x:c r="C4" s="38" t="str">
        <x:v>不消耗且不重复</x:v>
      </x:c>
      <x:c r="D4" s="43" t="str">
        <x:v>抽牌/回元气/回收牌不被成倍复制</x:v>
      </x:c>
    </x:row>
    <x:row r="5">
      <x:c r="A5" s="42" t="str">
        <x:v>聚光蛊</x:v>
      </x:c>
      <x:c r="B5" s="38" t="str">
        <x:v>提高下次数值</x:v>
      </x:c>
      <x:c r="C5" s="38" t="str">
        <x:v>生产折光重复机会</x:v>
      </x:c>
      <x:c r="D5" s="43" t="str">
        <x:v>真正成为机制发动机</x:v>
      </x:c>
    </x:row>
    <x:row r="6">
      <x:c r="A6" s="42" t="str">
        <x:v>借光蛊</x:v>
      </x:c>
      <x:c r="B6" s="38" t="str">
        <x:v>副聚光数值来源</x:v>
      </x:c>
      <x:c r="C6" s="38" t="str">
        <x:v>聚光为空时补1层，催动后可稳定补1层</x:v>
      </x:c>
      <x:c r="D6" s="43" t="str">
        <x:v>偏续航，不与聚光蛊抢主发动机定位</x:v>
      </x:c>
    </x:row>
    <x:row r="7">
      <x:c r="A7" s="42" t="str">
        <x:v>太光蛊</x:v>
      </x:c>
      <x:c r="B7" s="38" t="str">
        <x:v>自己直接重复折光</x:v>
      </x:c>
      <x:c r="C7" s="38" t="str">
        <x:v>改成“聚光重复的爆发受益者”</x:v>
      </x:c>
      <x:c r="D7" s="43" t="str">
        <x:v>避免太光与聚光机制完全重叠</x:v>
      </x:c>
    </x:row>
    <x:row r="8">
      <x:c r="A8" s="42" t="str">
        <x:v>恒光仙蛊</x:v>
      </x:c>
      <x:c r="B8" s="38" t="str">
        <x:v>消耗聚光后返还部分数值聚光</x:v>
      </x:c>
      <x:c r="C8" s="38" t="str">
        <x:v>折光重复后返还1聚光并强制下一张折光</x:v>
      </x:c>
      <x:c r="D8" s="43" t="str">
        <x:v>把一次重复继续传向下一张</x:v>
      </x:c>
    </x:row>
    <x:row r="9">
      <x:c r="A9" s="44" t="str">
        <x:v>月王辉</x:v>
      </x:c>
      <x:c r="B9" s="130" t="str">
        <x:v>获得2聚光</x:v>
      </x:c>
      <x:c r="C9" s="130" t="str">
        <x:v>基础1聚光，强化后2聚光</x:v>
      </x:c>
      <x:c r="D9" s="45" t="str">
        <x:v>新聚光价值更高，因此降低产量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7" hidden="0" customWidth="1"/>
    <x:col min="5" max="5" width="8" hidden="0" customWidth="1"/>
    <x:col min="6" max="6" width="12" hidden="0" customWidth="1"/>
    <x:col min="7" max="7" width="22" hidden="0" customWidth="1"/>
    <x:col min="8" max="8" width="14" hidden="0" customWidth="1"/>
    <x:col min="9" max="9" width="7" hidden="0" customWidth="1"/>
    <x:col min="10" max="10" width="7" hidden="0" customWidth="1"/>
    <x:col min="11" max="11" width="14" hidden="0" customWidth="1"/>
    <x:col min="12" max="12" width="22" hidden="0" customWidth="1"/>
    <x:col min="13" max="13" width="24" hidden="0" customWidth="1"/>
    <x:col min="14" max="14" width="52" hidden="0" customWidth="1"/>
    <x:col min="15" max="15" width="28" hidden="0" customWidth="1"/>
    <x:col min="16" max="16" width="40" hidden="0" customWidth="1"/>
    <x:col min="17" max="17" width="12" hidden="0" customWidth="1"/>
    <x:col min="18" max="18" width="30" hidden="0" customWidth="1"/>
  </x:cols>
  <x:sheetData>
    <x:row r="1">
      <x:c r="A1" s="24" t="str">
        <x:v>DesignID</x:v>
      </x:c>
      <x:c r="B1" s="124" t="str">
        <x:v>路线</x:v>
      </x:c>
      <x:c r="C1" s="124" t="str">
        <x:v>蛊虫</x:v>
      </x:c>
      <x:c r="D1" s="124" t="str">
        <x:v>转数</x:v>
      </x:c>
      <x:c r="E1" s="124" t="str">
        <x:v>窗口</x:v>
      </x:c>
      <x:c r="F1" s="124" t="str">
        <x:v>稀有度</x:v>
      </x:c>
      <x:c r="G1" s="124" t="str">
        <x:v>来源</x:v>
      </x:c>
      <x:c r="H1" s="124" t="str">
        <x:v>催动形态</x:v>
      </x:c>
      <x:c r="I1" s="124" t="str">
        <x:v>元气</x:v>
      </x:c>
      <x:c r="J1" s="124" t="str">
        <x:v>冷却</x:v>
      </x:c>
      <x:c r="K1" s="124" t="str">
        <x:v>仙元</x:v>
      </x:c>
      <x:c r="L1" s="124" t="str">
        <x:v>直接催动</x:v>
      </x:c>
      <x:c r="M1" s="124" t="str">
        <x:v>伴生结构</x:v>
      </x:c>
      <x:c r="N1" s="124" t="str">
        <x:v>催动增幅</x:v>
      </x:c>
      <x:c r="O1" s="124" t="str">
        <x:v>定位</x:v>
      </x:c>
      <x:c r="P1" s="124" t="str">
        <x:v>数值风险</x:v>
      </x:c>
      <x:c r="Q1" s="124" t="str">
        <x:v>实测状态</x:v>
      </x:c>
      <x:c r="R1" s="25" t="str">
        <x:v>调整备注</x:v>
      </x:c>
    </x:row>
    <x:row r="2">
      <x:c r="A2" s="40" t="str">
        <x:v>GU_HUIGUANG_R1</x:v>
      </x:c>
      <x:c r="B2" s="129" t="str">
        <x:v>光道主线</x:v>
      </x:c>
      <x:c r="C2" s="129" t="str">
        <x:v>辉光蛊</x:v>
      </x:c>
      <x:c r="D2" s="129" t="n">
        <x:v>1</x:v>
      </x:c>
      <x:c r="E2" s="129" t="str">
        <x:v>1–2</x:v>
      </x:c>
      <x:c r="F2" s="129" t="str">
        <x:v>Common</x:v>
      </x:c>
      <x:c r="G2" s="129" t="str">
        <x:v>模组原创</x:v>
      </x:c>
      <x:c r="H2" s="129" t="str">
        <x:v>A 弱直接</x:v>
      </x:c>
      <x:c r="I2" s="129" t="n">
        <x:v>1</x:v>
      </x:c>
      <x:c r="J2" s="129" t="n">
        <x:v>2</x:v>
      </x:c>
      <x:c r="K2" s="129" t="str">
        <x:v>—</x:v>
      </x:c>
      <x:c r="L2" s="129" t="str">
        <x:v>造成1点伤害</x:v>
      </x:c>
      <x:c r="M2" s="129" t="str">
        <x:v>辉光矢×2</x:v>
      </x:c>
      <x:c r="N2" s="129" t="str">
        <x:v>两张辉光矢各获得1层【辉映】：每层使折光伤害+1；最多2层；每张本场最多触发2次。</x:v>
      </x:c>
      <x:c r="O2" s="129" t="str">
        <x:v>低阶攻击密度 / 折光教学</x:v>
      </x:c>
      <x:c r="P2" s="129" t="str">
        <x:v>两张伴生导致攻击密度较高</x:v>
      </x:c>
      <x:c r="Q2" s="129" t="str">
        <x:v>待实测</x:v>
      </x:c>
      <x:c r="R2" s="41" t="str"/>
    </x:row>
    <x:row r="3">
      <x:c r="A3" s="42" t="str">
        <x:v>GU_HUIGUANG_R2</x:v>
      </x:c>
      <x:c r="B3" s="38" t="str">
        <x:v>光道主线</x:v>
      </x:c>
      <x:c r="C3" s="38" t="str">
        <x:v>辉光蛊</x:v>
      </x:c>
      <x:c r="D3" s="38" t="n">
        <x:v>2</x:v>
      </x:c>
      <x:c r="E3" s="38" t="str">
        <x:v>1–2</x:v>
      </x:c>
      <x:c r="F3" s="38" t="str">
        <x:v>Common</x:v>
      </x:c>
      <x:c r="G3" s="38" t="str">
        <x:v>模组原创</x:v>
      </x:c>
      <x:c r="H3" s="38" t="str">
        <x:v>A 弱直接</x:v>
      </x:c>
      <x:c r="I3" s="38" t="n">
        <x:v>1</x:v>
      </x:c>
      <x:c r="J3" s="38" t="n">
        <x:v>2</x:v>
      </x:c>
      <x:c r="K3" s="38" t="str">
        <x:v>—</x:v>
      </x:c>
      <x:c r="L3" s="38" t="str">
        <x:v>造成2点伤害</x:v>
      </x:c>
      <x:c r="M3" s="38" t="str">
        <x:v>辉光矢×2</x:v>
      </x:c>
      <x:c r="N3" s="38" t="str">
        <x:v>两张辉光矢各获得2层【辉映】：每层使折光伤害+1；最多2层；每张本场最多触发2次。</x:v>
      </x:c>
      <x:c r="O3" s="38" t="str">
        <x:v>低阶攻击密度 / 折光教学</x:v>
      </x:c>
      <x:c r="P3" s="38" t="str">
        <x:v>被聚光重复后强化折光也会重复，注意乘算</x:v>
      </x:c>
      <x:c r="Q3" s="38" t="str">
        <x:v>待实测</x:v>
      </x:c>
      <x:c r="R3" s="43" t="str"/>
    </x:row>
    <x:row r="4">
      <x:c r="A4" s="42" t="str">
        <x:v>GU_XUANGUANG_R2</x:v>
      </x:c>
      <x:c r="B4" s="38" t="str">
        <x:v>光道材料/辅助</x:v>
      </x:c>
      <x:c r="C4" s="38" t="str">
        <x:v>炫光蛊</x:v>
      </x:c>
      <x:c r="D4" s="38" t="n">
        <x:v>2</x:v>
      </x:c>
      <x:c r="E4" s="38" t="str">
        <x:v>2–4</x:v>
      </x:c>
      <x:c r="F4" s="38" t="str">
        <x:v>Uncommon</x:v>
      </x:c>
      <x:c r="G4" s="38" t="str">
        <x:v>原著名/效果模组化</x:v>
      </x:c>
      <x:c r="H4" s="38" t="str">
        <x:v>B 纯增幅</x:v>
      </x:c>
      <x:c r="I4" s="38" t="n">
        <x:v>1</x:v>
      </x:c>
      <x:c r="J4" s="38" t="n">
        <x:v>2</x:v>
      </x:c>
      <x:c r="K4" s="38" t="str">
        <x:v>—</x:v>
      </x:c>
      <x:c r="L4" s="38" t="str">
        <x:v>无</x:v>
      </x:c>
      <x:c r="M4" s="38" t="str">
        <x:v>炫光幕×1</x:v>
      </x:c>
      <x:c r="N4" s="38" t="str">
        <x:v>炫光幕本场前2次折光时，额外获得2点格挡。</x:v>
      </x:c>
      <x:c r="O4" s="38" t="str">
        <x:v>技能侧折光修正 / 攻击接续</x:v>
      </x:c>
      <x:c r="P4" s="38" t="str">
        <x:v>数值+强制折光会被聚光整段重复，但强制折光本身不叠加</x:v>
      </x:c>
      <x:c r="Q4" s="38" t="str">
        <x:v>待实测</x:v>
      </x:c>
      <x:c r="R4" s="43" t="str"/>
    </x:row>
    <x:row r="5">
      <x:c r="A5" s="42" t="str">
        <x:v>GU_XUANGUANG_R3</x:v>
      </x:c>
      <x:c r="B5" s="38" t="str">
        <x:v>光道材料/辅助</x:v>
      </x:c>
      <x:c r="C5" s="38" t="str">
        <x:v>炫光蛊</x:v>
      </x:c>
      <x:c r="D5" s="38" t="n">
        <x:v>3</x:v>
      </x:c>
      <x:c r="E5" s="38" t="str">
        <x:v>2–4</x:v>
      </x:c>
      <x:c r="F5" s="38" t="str">
        <x:v>Uncommon</x:v>
      </x:c>
      <x:c r="G5" s="38" t="str">
        <x:v>原著名/效果模组化</x:v>
      </x:c>
      <x:c r="H5" s="38" t="str">
        <x:v>B 纯增幅</x:v>
      </x:c>
      <x:c r="I5" s="38" t="n">
        <x:v>1</x:v>
      </x:c>
      <x:c r="J5" s="38" t="n">
        <x:v>2</x:v>
      </x:c>
      <x:c r="K5" s="38" t="str">
        <x:v>—</x:v>
      </x:c>
      <x:c r="L5" s="38" t="str">
        <x:v>无</x:v>
      </x:c>
      <x:c r="M5" s="38" t="str">
        <x:v>炫光幕×1</x:v>
      </x:c>
      <x:c r="N5" s="38" t="str">
        <x:v>炫光幕本场前2次折光时，额外获得3点格挡。</x:v>
      </x:c>
      <x:c r="O5" s="38" t="str">
        <x:v>技能侧折光修正 / 攻击接续</x:v>
      </x:c>
      <x:c r="P5" s="38" t="str">
        <x:v>数值+强制折光会被聚光整段重复，但强制折光本身不叠加</x:v>
      </x:c>
      <x:c r="Q5" s="38" t="str">
        <x:v>待实测</x:v>
      </x:c>
      <x:c r="R5" s="43" t="str"/>
    </x:row>
    <x:row r="6">
      <x:c r="A6" s="42" t="str">
        <x:v>GU_XUANGUANG_R4</x:v>
      </x:c>
      <x:c r="B6" s="38" t="str">
        <x:v>光道材料/辅助</x:v>
      </x:c>
      <x:c r="C6" s="38" t="str">
        <x:v>炫光蛊</x:v>
      </x:c>
      <x:c r="D6" s="38" t="n">
        <x:v>4</x:v>
      </x:c>
      <x:c r="E6" s="38" t="str">
        <x:v>2–4</x:v>
      </x:c>
      <x:c r="F6" s="38" t="str">
        <x:v>Uncommon</x:v>
      </x:c>
      <x:c r="G6" s="38" t="str">
        <x:v>原著名/效果模组化</x:v>
      </x:c>
      <x:c r="H6" s="38" t="str">
        <x:v>B 纯增幅</x:v>
      </x:c>
      <x:c r="I6" s="38" t="n">
        <x:v>1</x:v>
      </x:c>
      <x:c r="J6" s="38" t="n">
        <x:v>2</x:v>
      </x:c>
      <x:c r="K6" s="38" t="str">
        <x:v>—</x:v>
      </x:c>
      <x:c r="L6" s="38" t="str">
        <x:v>无</x:v>
      </x:c>
      <x:c r="M6" s="38" t="str">
        <x:v>炫光幕×1</x:v>
      </x:c>
      <x:c r="N6" s="38" t="str">
        <x:v>炫光幕本场前2次折光时，额外获得4点格挡。</x:v>
      </x:c>
      <x:c r="O6" s="38" t="str">
        <x:v>技能侧折光修正 / 攻击接续</x:v>
      </x:c>
      <x:c r="P6" s="38" t="str">
        <x:v>数值+强制折光会被聚光整段重复，但强制折光本身不叠加</x:v>
      </x:c>
      <x:c r="Q6" s="38" t="str">
        <x:v>待实测</x:v>
      </x:c>
      <x:c r="R6" s="43" t="str"/>
    </x:row>
    <x:row r="7">
      <x:c r="A7" s="42" t="str">
        <x:v>GU_GUANGHONG_R3</x:v>
      </x:c>
      <x:c r="B7" s="38" t="str">
        <x:v>光道主线</x:v>
      </x:c>
      <x:c r="C7" s="38" t="str">
        <x:v>光虹蛊</x:v>
      </x:c>
      <x:c r="D7" s="38" t="n">
        <x:v>3</x:v>
      </x:c>
      <x:c r="E7" s="38" t="str">
        <x:v>3</x:v>
      </x:c>
      <x:c r="F7" s="38" t="str">
        <x:v>Uncommon</x:v>
      </x:c>
      <x:c r="G7" s="38" t="str">
        <x:v>原著名/效果模组化</x:v>
      </x:c>
      <x:c r="H7" s="38" t="str">
        <x:v>B 纯增幅</x:v>
      </x:c>
      <x:c r="I7" s="38" t="n">
        <x:v>2</x:v>
      </x:c>
      <x:c r="J7" s="38" t="n">
        <x:v>2</x:v>
      </x:c>
      <x:c r="K7" s="38" t="str">
        <x:v>—</x:v>
      </x:c>
      <x:c r="L7" s="38" t="str">
        <x:v>无</x:v>
      </x:c>
      <x:c r="M7" s="38" t="str">
        <x:v>虹步×2</x:v>
      </x:c>
      <x:c r="N7" s="38" t="str">
        <x:v>两张虹步各获得1次【虹行】：成功折光后，使下一张拥有折光段的牌强制折光。</x:v>
      </x:c>
      <x:c r="O7" s="38" t="str">
        <x:v>技能循环 / 延续折光</x:v>
      </x:c>
      <x:c r="P7" s="38" t="str">
        <x:v>纯功能折光不消耗聚光</x:v>
      </x:c>
      <x:c r="Q7" s="38" t="str">
        <x:v>待实测</x:v>
      </x:c>
      <x:c r="R7" s="43" t="str"/>
    </x:row>
    <x:row r="8">
      <x:c r="A8" s="42" t="str">
        <x:v>GU_GUANGYUAN_R1</x:v>
      </x:c>
      <x:c r="B8" s="38" t="str">
        <x:v>光道材料/辅助</x:v>
      </x:c>
      <x:c r="C8" s="38" t="str">
        <x:v>光源蛊</x:v>
      </x:c>
      <x:c r="D8" s="38" t="n">
        <x:v>1</x:v>
      </x:c>
      <x:c r="E8" s="38" t="str">
        <x:v>1–3</x:v>
      </x:c>
      <x:c r="F8" s="38" t="str">
        <x:v>Common</x:v>
      </x:c>
      <x:c r="G8" s="38" t="str">
        <x:v>原著名/效果模组化</x:v>
      </x:c>
      <x:c r="H8" s="38" t="str">
        <x:v>B 纯增幅</x:v>
      </x:c>
      <x:c r="I8" s="38" t="n">
        <x:v>1</x:v>
      </x:c>
      <x:c r="J8" s="38" t="n">
        <x:v>2</x:v>
      </x:c>
      <x:c r="K8" s="38" t="str">
        <x:v>—</x:v>
      </x:c>
      <x:c r="L8" s="38" t="str">
        <x:v>无</x:v>
      </x:c>
      <x:c r="M8" s="38" t="str">
        <x:v>引光×1</x:v>
      </x:c>
      <x:c r="N8" s="38" t="str">
        <x:v>引光本场前2次折光时，额外获得2点格挡。</x:v>
      </x:c>
      <x:c r="O8" s="38" t="str">
        <x:v>折光回元气 / 技能动作</x:v>
      </x:c>
      <x:c r="P8" s="38" t="str">
        <x:v>回元气为纯功能折光，不会被聚光复制</x:v>
      </x:c>
      <x:c r="Q8" s="38" t="str">
        <x:v>待实测</x:v>
      </x:c>
      <x:c r="R8" s="43" t="str"/>
    </x:row>
    <x:row r="9">
      <x:c r="A9" s="42" t="str">
        <x:v>GU_GUANGYUAN_R2</x:v>
      </x:c>
      <x:c r="B9" s="38" t="str">
        <x:v>光道材料/辅助</x:v>
      </x:c>
      <x:c r="C9" s="38" t="str">
        <x:v>光源蛊</x:v>
      </x:c>
      <x:c r="D9" s="38" t="n">
        <x:v>2</x:v>
      </x:c>
      <x:c r="E9" s="38" t="str">
        <x:v>1–3</x:v>
      </x:c>
      <x:c r="F9" s="38" t="str">
        <x:v>Common</x:v>
      </x:c>
      <x:c r="G9" s="38" t="str">
        <x:v>原著名/效果模组化</x:v>
      </x:c>
      <x:c r="H9" s="38" t="str">
        <x:v>B 纯增幅</x:v>
      </x:c>
      <x:c r="I9" s="38" t="n">
        <x:v>1</x:v>
      </x:c>
      <x:c r="J9" s="38" t="n">
        <x:v>2</x:v>
      </x:c>
      <x:c r="K9" s="38" t="str">
        <x:v>—</x:v>
      </x:c>
      <x:c r="L9" s="38" t="str">
        <x:v>无</x:v>
      </x:c>
      <x:c r="M9" s="38" t="str">
        <x:v>引光×1</x:v>
      </x:c>
      <x:c r="N9" s="38" t="str">
        <x:v>引光本场前2次折光时，额外获得3点格挡。</x:v>
      </x:c>
      <x:c r="O9" s="38" t="str">
        <x:v>折光回元气 / 技能动作</x:v>
      </x:c>
      <x:c r="P9" s="38" t="str">
        <x:v>回元气为纯功能折光，不会被聚光复制</x:v>
      </x:c>
      <x:c r="Q9" s="38" t="str">
        <x:v>待实测</x:v>
      </x:c>
      <x:c r="R9" s="43" t="str"/>
    </x:row>
    <x:row r="10">
      <x:c r="A10" s="42" t="str">
        <x:v>GU_GUANGYUAN_R3</x:v>
      </x:c>
      <x:c r="B10" s="38" t="str">
        <x:v>光道材料/辅助</x:v>
      </x:c>
      <x:c r="C10" s="38" t="str">
        <x:v>光源蛊</x:v>
      </x:c>
      <x:c r="D10" s="38" t="n">
        <x:v>3</x:v>
      </x:c>
      <x:c r="E10" s="38" t="str">
        <x:v>1–3</x:v>
      </x:c>
      <x:c r="F10" s="38" t="str">
        <x:v>Common</x:v>
      </x:c>
      <x:c r="G10" s="38" t="str">
        <x:v>原著名/效果模组化</x:v>
      </x:c>
      <x:c r="H10" s="38" t="str">
        <x:v>B 纯增幅</x:v>
      </x:c>
      <x:c r="I10" s="38" t="n">
        <x:v>1</x:v>
      </x:c>
      <x:c r="J10" s="38" t="n">
        <x:v>2</x:v>
      </x:c>
      <x:c r="K10" s="38" t="str">
        <x:v>—</x:v>
      </x:c>
      <x:c r="L10" s="38" t="str">
        <x:v>无</x:v>
      </x:c>
      <x:c r="M10" s="38" t="str">
        <x:v>引光×1</x:v>
      </x:c>
      <x:c r="N10" s="38" t="str">
        <x:v>引光本场前2次折光时，额外获得4点格挡。</x:v>
      </x:c>
      <x:c r="O10" s="38" t="str">
        <x:v>折光回元气 / 技能动作</x:v>
      </x:c>
      <x:c r="P10" s="38" t="str">
        <x:v>回元气为纯功能折光，不会被聚光复制</x:v>
      </x:c>
      <x:c r="Q10" s="38" t="str">
        <x:v>待实测</x:v>
      </x:c>
      <x:c r="R10" s="43" t="str"/>
    </x:row>
    <x:row r="11">
      <x:c r="A11" s="42" t="str">
        <x:v>GU_JUGUANG_R4</x:v>
      </x:c>
      <x:c r="B11" s="38" t="str">
        <x:v>光道主线</x:v>
      </x:c>
      <x:c r="C11" s="38" t="str">
        <x:v>聚光蛊</x:v>
      </x:c>
      <x:c r="D11" s="38" t="n">
        <x:v>4</x:v>
      </x:c>
      <x:c r="E11" s="38" t="str">
        <x:v>4</x:v>
      </x:c>
      <x:c r="F11" s="38" t="str">
        <x:v>Rare</x:v>
      </x:c>
      <x:c r="G11" s="38" t="str">
        <x:v>原著名/效果模组化</x:v>
      </x:c>
      <x:c r="H11" s="38" t="str">
        <x:v>B 纯增幅</x:v>
      </x:c>
      <x:c r="I11" s="38" t="n">
        <x:v>2</x:v>
      </x:c>
      <x:c r="J11" s="38" t="n">
        <x:v>3</x:v>
      </x:c>
      <x:c r="K11" s="38" t="str">
        <x:v>—</x:v>
      </x:c>
      <x:c r="L11" s="38" t="str">
        <x:v>无</x:v>
      </x:c>
      <x:c r="M11" s="38" t="str">
        <x:v>聚光镜×1</x:v>
      </x:c>
      <x:c r="N11" s="38" t="str">
        <x:v>聚光镜获得2次【汇光】：成功折光时额外获得1聚光，因此该次共获得2聚光。</x:v>
      </x:c>
      <x:c r="O11" s="38" t="str">
        <x:v>聚光核心 / 制造折光重复机会</x:v>
      </x:c>
      <x:c r="P11" s="38" t="str">
        <x:v>2次强化最多额外制造2次重复机会，重点观察牌组爆发</x:v>
      </x:c>
      <x:c r="Q11" s="38" t="str">
        <x:v>待实测</x:v>
      </x:c>
      <x:c r="R11" s="43" t="str"/>
    </x:row>
    <x:row r="12">
      <x:c r="A12" s="42" t="str">
        <x:v>GU_JIEGUANG_R4</x:v>
      </x:c>
      <x:c r="B12" s="38" t="str">
        <x:v>光道材料/辅助</x:v>
      </x:c>
      <x:c r="C12" s="38" t="str">
        <x:v>借光蛊</x:v>
      </x:c>
      <x:c r="D12" s="38" t="n">
        <x:v>4</x:v>
      </x:c>
      <x:c r="E12" s="38" t="str">
        <x:v>4</x:v>
      </x:c>
      <x:c r="F12" s="38" t="str">
        <x:v>Uncommon</x:v>
      </x:c>
      <x:c r="G12" s="38" t="str">
        <x:v>原著名/效果模组化</x:v>
      </x:c>
      <x:c r="H12" s="38" t="str">
        <x:v>B 纯增幅</x:v>
      </x:c>
      <x:c r="I12" s="38" t="n">
        <x:v>1</x:v>
      </x:c>
      <x:c r="J12" s="38" t="n">
        <x:v>2</x:v>
      </x:c>
      <x:c r="K12" s="38" t="str">
        <x:v>—</x:v>
      </x:c>
      <x:c r="L12" s="38" t="str">
        <x:v>无</x:v>
      </x:c>
      <x:c r="M12" s="38" t="str">
        <x:v>借光束×1</x:v>
      </x:c>
      <x:c r="N12" s="38" t="str">
        <x:v>借光束获得2次【借辉】：这两次折光无论当前是否已有聚光，均获得1聚光；未强化时仅在聚光为0时获得。</x:v>
      </x:c>
      <x:c r="O12" s="38" t="str">
        <x:v>攻击动作 / 聚光续接</x:v>
      </x:c>
      <x:c r="P12" s="38" t="str">
        <x:v>只能补1层，不能像聚光蛊一样快速囤积</x:v>
      </x:c>
      <x:c r="Q12" s="38" t="str">
        <x:v>待实测</x:v>
      </x:c>
      <x:c r="R12" s="43" t="str"/>
    </x:row>
    <x:row r="13">
      <x:c r="A13" s="42" t="str">
        <x:v>GU_TAIGUANG_R5</x:v>
      </x:c>
      <x:c r="B13" s="38" t="str">
        <x:v>光道主线</x:v>
      </x:c>
      <x:c r="C13" s="38" t="str">
        <x:v>太光蛊</x:v>
      </x:c>
      <x:c r="D13" s="38" t="n">
        <x:v>5</x:v>
      </x:c>
      <x:c r="E13" s="38" t="str">
        <x:v>5</x:v>
      </x:c>
      <x:c r="F13" s="38" t="str">
        <x:v>Rare</x:v>
      </x:c>
      <x:c r="G13" s="38" t="str">
        <x:v>原著名/效果模组化</x:v>
      </x:c>
      <x:c r="H13" s="38" t="str">
        <x:v>B 纯增幅</x:v>
      </x:c>
      <x:c r="I13" s="38" t="n">
        <x:v>2</x:v>
      </x:c>
      <x:c r="J13" s="38" t="n">
        <x:v>3</x:v>
      </x:c>
      <x:c r="K13" s="38" t="str">
        <x:v>—</x:v>
      </x:c>
      <x:c r="L13" s="38" t="str">
        <x:v>无</x:v>
      </x:c>
      <x:c r="M13" s="38" t="str">
        <x:v>太光贯×1</x:v>
      </x:c>
      <x:c r="N13" s="38" t="str">
        <x:v>太光贯获得1次【太照】：下一次它的折光因聚光发生重复时，第二次折光伤害额外+4。</x:v>
      </x:c>
      <x:c r="O13" s="38" t="str">
        <x:v>五转聚光爆发终端 / 重复折光收益</x:v>
      </x:c>
      <x:c r="P13" s="38" t="str">
        <x:v>单卡聚光爆发高，但只强化一次重复</x:v>
      </x:c>
      <x:c r="Q13" s="38" t="str">
        <x:v>待实测</x:v>
      </x:c>
      <x:c r="R13" s="43" t="str"/>
    </x:row>
    <x:row r="14">
      <x:c r="A14" s="42" t="str">
        <x:v>GU_HENGGUANG_R6</x:v>
      </x:c>
      <x:c r="B14" s="38" t="str">
        <x:v>六转后主线</x:v>
      </x:c>
      <x:c r="C14" s="38" t="str">
        <x:v>恒光仙蛊</x:v>
      </x:c>
      <x:c r="D14" s="38" t="n">
        <x:v>6</x:v>
      </x:c>
      <x:c r="E14" s="38" t="str">
        <x:v>6–8</x:v>
      </x:c>
      <x:c r="F14" s="38" t="str">
        <x:v>仙蛊</x:v>
      </x:c>
      <x:c r="G14" s="38" t="str">
        <x:v>模组原创</x:v>
      </x:c>
      <x:c r="H14" s="38" t="str">
        <x:v>B 纯增幅</x:v>
      </x:c>
      <x:c r="I14" s="38" t="n">
        <x:v>2</x:v>
      </x:c>
      <x:c r="J14" s="38" t="n">
        <x:v>3</x:v>
      </x:c>
      <x:c r="K14" s="38" t="str">
        <x:v>按现行仙元规则</x:v>
      </x:c>
      <x:c r="L14" s="38" t="str">
        <x:v>无</x:v>
      </x:c>
      <x:c r="M14" s="38" t="str">
        <x:v>恒光刃×1 + 恒光障×1</x:v>
      </x:c>
      <x:c r="N14" s="38" t="str">
        <x:v>两张伴生各获得1次【恒照】：若本牌本次折光因聚光发生重复，则重复结算后获得1聚光，并使下一张拥有折光段的牌强制折光。</x:v>
      </x:c>
      <x:c r="O14" s="38" t="str">
        <x:v>仙级连续折光 / 让重复向后传递</x:v>
      </x:c>
      <x:c r="P14" s="38" t="str">
        <x:v>返还聚光只发生在恒光伴生，仍需检查高转长链稳定度</x:v>
      </x:c>
      <x:c r="Q14" s="38" t="str">
        <x:v>待实测</x:v>
      </x:c>
      <x:c r="R14" s="43" t="str"/>
    </x:row>
    <x:row r="15">
      <x:c r="A15" s="42" t="str">
        <x:v>GU_HENGGUANG_R7</x:v>
      </x:c>
      <x:c r="B15" s="38" t="str">
        <x:v>六转后主线</x:v>
      </x:c>
      <x:c r="C15" s="38" t="str">
        <x:v>恒光仙蛊</x:v>
      </x:c>
      <x:c r="D15" s="38" t="n">
        <x:v>7</x:v>
      </x:c>
      <x:c r="E15" s="38" t="str">
        <x:v>6–8</x:v>
      </x:c>
      <x:c r="F15" s="38" t="str">
        <x:v>仙蛊</x:v>
      </x:c>
      <x:c r="G15" s="38" t="str">
        <x:v>模组原创</x:v>
      </x:c>
      <x:c r="H15" s="38" t="str">
        <x:v>B 纯增幅</x:v>
      </x:c>
      <x:c r="I15" s="38" t="n">
        <x:v>2</x:v>
      </x:c>
      <x:c r="J15" s="38" t="n">
        <x:v>3</x:v>
      </x:c>
      <x:c r="K15" s="38" t="str">
        <x:v>按现行仙元规则</x:v>
      </x:c>
      <x:c r="L15" s="38" t="str">
        <x:v>无</x:v>
      </x:c>
      <x:c r="M15" s="38" t="str">
        <x:v>恒光刃×1 + 恒光障×1</x:v>
      </x:c>
      <x:c r="N15" s="38" t="str">
        <x:v>两张伴生各获得2次【恒照】：若本牌本次折光因聚光发生重复，则重复结算后获得1聚光，并使下一张拥有折光段的牌强制折光。</x:v>
      </x:c>
      <x:c r="O15" s="38" t="str">
        <x:v>仙级连续折光 / 让重复向后传递</x:v>
      </x:c>
      <x:c r="P15" s="38" t="str">
        <x:v>返还聚光只发生在恒光伴生，仍需检查高转长链稳定度</x:v>
      </x:c>
      <x:c r="Q15" s="38" t="str">
        <x:v>待实测</x:v>
      </x:c>
      <x:c r="R15" s="43" t="str"/>
    </x:row>
    <x:row r="16">
      <x:c r="A16" s="42" t="str">
        <x:v>GU_HENGGUANG_R8</x:v>
      </x:c>
      <x:c r="B16" s="38" t="str">
        <x:v>六转后主线</x:v>
      </x:c>
      <x:c r="C16" s="38" t="str">
        <x:v>恒光仙蛊</x:v>
      </x:c>
      <x:c r="D16" s="38" t="n">
        <x:v>8</x:v>
      </x:c>
      <x:c r="E16" s="38" t="str">
        <x:v>6–8</x:v>
      </x:c>
      <x:c r="F16" s="38" t="str">
        <x:v>仙蛊</x:v>
      </x:c>
      <x:c r="G16" s="38" t="str">
        <x:v>模组原创</x:v>
      </x:c>
      <x:c r="H16" s="38" t="str">
        <x:v>B 纯增幅</x:v>
      </x:c>
      <x:c r="I16" s="38" t="n">
        <x:v>2</x:v>
      </x:c>
      <x:c r="J16" s="38" t="n">
        <x:v>3</x:v>
      </x:c>
      <x:c r="K16" s="38" t="str">
        <x:v>按现行仙元规则</x:v>
      </x:c>
      <x:c r="L16" s="38" t="str">
        <x:v>无</x:v>
      </x:c>
      <x:c r="M16" s="38" t="str">
        <x:v>恒光刃×1 + 恒光障×1</x:v>
      </x:c>
      <x:c r="N16" s="38" t="str">
        <x:v>两张伴生各获得3次【恒照】：若本牌本次折光因聚光发生重复，则重复结算后获得1聚光，并使下一张拥有折光段的牌强制折光。</x:v>
      </x:c>
      <x:c r="O16" s="38" t="str">
        <x:v>仙级连续折光 / 让重复向后传递</x:v>
      </x:c>
      <x:c r="P16" s="38" t="str">
        <x:v>返还聚光只发生在恒光伴生，仍需检查高转长链稳定度</x:v>
      </x:c>
      <x:c r="Q16" s="38" t="str">
        <x:v>待实测</x:v>
      </x:c>
      <x:c r="R16" s="43" t="str"/>
    </x:row>
    <x:row r="17">
      <x:c r="A17" s="42" t="str">
        <x:v>GU_GUANG_R9</x:v>
      </x:c>
      <x:c r="B17" s="38" t="str">
        <x:v>六转后主线</x:v>
      </x:c>
      <x:c r="C17" s="38" t="str">
        <x:v>光蛊</x:v>
      </x:c>
      <x:c r="D17" s="38" t="n">
        <x:v>9</x:v>
      </x:c>
      <x:c r="E17" s="38" t="str">
        <x:v>9</x:v>
      </x:c>
      <x:c r="F17" s="38" t="str">
        <x:v>九转仙蛊</x:v>
      </x:c>
      <x:c r="G17" s="38" t="str">
        <x:v>原著名/效果模组化</x:v>
      </x:c>
      <x:c r="H17" s="38" t="str">
        <x:v>规则级增幅</x:v>
      </x:c>
      <x:c r="I17" s="38" t="n">
        <x:v>3</x:v>
      </x:c>
      <x:c r="J17" s="38" t="n">
        <x:v>4</x:v>
      </x:c>
      <x:c r="K17" s="38" t="str">
        <x:v>按现行仙元规则</x:v>
      </x:c>
      <x:c r="L17" s="38" t="str">
        <x:v>本回合所有拥有折光段的普通牌均视为满足折光条件</x:v>
      </x:c>
      <x:c r="M17" s="38" t="str">
        <x:v>光耀×1 + 光界×1</x:v>
      </x:c>
      <x:c r="N17" s="38" t="str">
        <x:v>不额外附加独立强化状态；本回合只改变折光条件，聚光仍按正常规则逐次消耗并触发重复。</x:v>
      </x:c>
      <x:c r="O17" s="38" t="str">
        <x:v>九转终点 / 无条件折光</x:v>
      </x:c>
      <x:c r="P17" s="38" t="str">
        <x:v>与0费、抽牌、回光组合时可能形成超长回合</x:v>
      </x:c>
      <x:c r="Q17" s="38" t="str">
        <x:v>待实测</x:v>
      </x:c>
      <x:c r="R17" s="43" t="str"/>
    </x:row>
    <x:row r="18">
      <x:c r="A18" s="42" t="str">
        <x:v>GU_HONGGUANG_R1</x:v>
      </x:c>
      <x:c r="B18" s="38" t="str">
        <x:v>光道奖励池</x:v>
      </x:c>
      <x:c r="C18" s="38" t="str">
        <x:v>红光蛊</x:v>
      </x:c>
      <x:c r="D18" s="38" t="n">
        <x:v>1</x:v>
      </x:c>
      <x:c r="E18" s="38" t="str">
        <x:v>1–3</x:v>
      </x:c>
      <x:c r="F18" s="38" t="str">
        <x:v>Common</x:v>
      </x:c>
      <x:c r="G18" s="38" t="str">
        <x:v>模组奖励蛊</x:v>
      </x:c>
      <x:c r="H18" s="38" t="str">
        <x:v>B 纯增幅</x:v>
      </x:c>
      <x:c r="I18" s="38" t="n">
        <x:v>1</x:v>
      </x:c>
      <x:c r="J18" s="38" t="n">
        <x:v>2</x:v>
      </x:c>
      <x:c r="K18" s="38" t="str">
        <x:v>—</x:v>
      </x:c>
      <x:c r="L18" s="38" t="str">
        <x:v>无</x:v>
      </x:c>
      <x:c r="M18" s="38" t="str">
        <x:v>赤光×2</x:v>
      </x:c>
      <x:c r="N18" s="38" t="str">
        <x:v>两张赤光各获得1次【炽照】：折光伤害额外+1。</x:v>
      </x:c>
      <x:c r="O18" s="38" t="str">
        <x:v>长期攻击密度</x:v>
      </x:c>
      <x:c r="P18" s="38" t="str">
        <x:v>折光强化会被聚光重复</x:v>
      </x:c>
      <x:c r="Q18" s="38" t="str">
        <x:v>待实测</x:v>
      </x:c>
      <x:c r="R18" s="43" t="str"/>
    </x:row>
    <x:row r="19">
      <x:c r="A19" s="42" t="str">
        <x:v>GU_HONGGUANG_R2</x:v>
      </x:c>
      <x:c r="B19" s="38" t="str">
        <x:v>光道奖励池</x:v>
      </x:c>
      <x:c r="C19" s="38" t="str">
        <x:v>红光蛊</x:v>
      </x:c>
      <x:c r="D19" s="38" t="n">
        <x:v>2</x:v>
      </x:c>
      <x:c r="E19" s="38" t="str">
        <x:v>1–3</x:v>
      </x:c>
      <x:c r="F19" s="38" t="str">
        <x:v>Common</x:v>
      </x:c>
      <x:c r="G19" s="38" t="str">
        <x:v>模组奖励蛊</x:v>
      </x:c>
      <x:c r="H19" s="38" t="str">
        <x:v>B 纯增幅</x:v>
      </x:c>
      <x:c r="I19" s="38" t="n">
        <x:v>1</x:v>
      </x:c>
      <x:c r="J19" s="38" t="n">
        <x:v>2</x:v>
      </x:c>
      <x:c r="K19" s="38" t="str">
        <x:v>—</x:v>
      </x:c>
      <x:c r="L19" s="38" t="str">
        <x:v>无</x:v>
      </x:c>
      <x:c r="M19" s="38" t="str">
        <x:v>赤光×2</x:v>
      </x:c>
      <x:c r="N19" s="38" t="str">
        <x:v>两张赤光各获得1次【炽照】：折光伤害额外+2。</x:v>
      </x:c>
      <x:c r="O19" s="38" t="str">
        <x:v>长期攻击密度</x:v>
      </x:c>
      <x:c r="P19" s="38" t="str">
        <x:v>折光强化会被聚光重复</x:v>
      </x:c>
      <x:c r="Q19" s="38" t="str">
        <x:v>待实测</x:v>
      </x:c>
      <x:c r="R19" s="43" t="str"/>
    </x:row>
    <x:row r="20">
      <x:c r="A20" s="42" t="str">
        <x:v>GU_HONGGUANG_R3</x:v>
      </x:c>
      <x:c r="B20" s="38" t="str">
        <x:v>光道奖励池</x:v>
      </x:c>
      <x:c r="C20" s="38" t="str">
        <x:v>红光蛊</x:v>
      </x:c>
      <x:c r="D20" s="38" t="n">
        <x:v>3</x:v>
      </x:c>
      <x:c r="E20" s="38" t="str">
        <x:v>1–3</x:v>
      </x:c>
      <x:c r="F20" s="38" t="str">
        <x:v>Common</x:v>
      </x:c>
      <x:c r="G20" s="38" t="str">
        <x:v>模组奖励蛊</x:v>
      </x:c>
      <x:c r="H20" s="38" t="str">
        <x:v>B 纯增幅</x:v>
      </x:c>
      <x:c r="I20" s="38" t="n">
        <x:v>1</x:v>
      </x:c>
      <x:c r="J20" s="38" t="n">
        <x:v>2</x:v>
      </x:c>
      <x:c r="K20" s="38" t="str">
        <x:v>—</x:v>
      </x:c>
      <x:c r="L20" s="38" t="str">
        <x:v>无</x:v>
      </x:c>
      <x:c r="M20" s="38" t="str">
        <x:v>赤光×2</x:v>
      </x:c>
      <x:c r="N20" s="38" t="str">
        <x:v>两张赤光各获得1次【炽照】：折光伤害额外+3。</x:v>
      </x:c>
      <x:c r="O20" s="38" t="str">
        <x:v>长期攻击密度</x:v>
      </x:c>
      <x:c r="P20" s="38" t="str">
        <x:v>折光强化会被聚光重复</x:v>
      </x:c>
      <x:c r="Q20" s="38" t="str">
        <x:v>待实测</x:v>
      </x:c>
      <x:c r="R20" s="43" t="str"/>
    </x:row>
    <x:row r="21">
      <x:c r="A21" s="42" t="str">
        <x:v>GU_FANGUANG_R1</x:v>
      </x:c>
      <x:c r="B21" s="38" t="str">
        <x:v>光道奖励池</x:v>
      </x:c>
      <x:c r="C21" s="38" t="str">
        <x:v>反光蛊</x:v>
      </x:c>
      <x:c r="D21" s="38" t="n">
        <x:v>1</x:v>
      </x:c>
      <x:c r="E21" s="38" t="str">
        <x:v>1–3</x:v>
      </x:c>
      <x:c r="F21" s="38" t="str">
        <x:v>Common</x:v>
      </x:c>
      <x:c r="G21" s="38" t="str">
        <x:v>原著名/效果模组化</x:v>
      </x:c>
      <x:c r="H21" s="38" t="str">
        <x:v>B 纯增幅</x:v>
      </x:c>
      <x:c r="I21" s="38" t="n">
        <x:v>1</x:v>
      </x:c>
      <x:c r="J21" s="38" t="n">
        <x:v>2</x:v>
      </x:c>
      <x:c r="K21" s="38" t="str">
        <x:v>—</x:v>
      </x:c>
      <x:c r="L21" s="38" t="str">
        <x:v>无</x:v>
      </x:c>
      <x:c r="M21" s="38" t="str">
        <x:v>反光壁×2</x:v>
      </x:c>
      <x:c r="N21" s="38" t="str">
        <x:v>两张反光壁各获得1次【返照】：折光格挡额外+1。</x:v>
      </x:c>
      <x:c r="O21" s="38" t="str">
        <x:v>长期技能/防御密度</x:v>
      </x:c>
      <x:c r="P21" s="38" t="str">
        <x:v>折光强化会被聚光重复</x:v>
      </x:c>
      <x:c r="Q21" s="38" t="str">
        <x:v>待实测</x:v>
      </x:c>
      <x:c r="R21" s="43" t="str"/>
    </x:row>
    <x:row r="22">
      <x:c r="A22" s="42" t="str">
        <x:v>GU_FANGUANG_R2</x:v>
      </x:c>
      <x:c r="B22" s="38" t="str">
        <x:v>光道奖励池</x:v>
      </x:c>
      <x:c r="C22" s="38" t="str">
        <x:v>反光蛊</x:v>
      </x:c>
      <x:c r="D22" s="38" t="n">
        <x:v>2</x:v>
      </x:c>
      <x:c r="E22" s="38" t="str">
        <x:v>1–3</x:v>
      </x:c>
      <x:c r="F22" s="38" t="str">
        <x:v>Common</x:v>
      </x:c>
      <x:c r="G22" s="38" t="str">
        <x:v>原著名/效果模组化</x:v>
      </x:c>
      <x:c r="H22" s="38" t="str">
        <x:v>B 纯增幅</x:v>
      </x:c>
      <x:c r="I22" s="38" t="n">
        <x:v>1</x:v>
      </x:c>
      <x:c r="J22" s="38" t="n">
        <x:v>2</x:v>
      </x:c>
      <x:c r="K22" s="38" t="str">
        <x:v>—</x:v>
      </x:c>
      <x:c r="L22" s="38" t="str">
        <x:v>无</x:v>
      </x:c>
      <x:c r="M22" s="38" t="str">
        <x:v>反光壁×2</x:v>
      </x:c>
      <x:c r="N22" s="38" t="str">
        <x:v>两张反光壁各获得1次【返照】：折光格挡额外+2。</x:v>
      </x:c>
      <x:c r="O22" s="38" t="str">
        <x:v>长期技能/防御密度</x:v>
      </x:c>
      <x:c r="P22" s="38" t="str">
        <x:v>折光强化会被聚光重复</x:v>
      </x:c>
      <x:c r="Q22" s="38" t="str">
        <x:v>待实测</x:v>
      </x:c>
      <x:c r="R22" s="43" t="str"/>
    </x:row>
    <x:row r="23">
      <x:c r="A23" s="42" t="str">
        <x:v>GU_FANGUANG_R3</x:v>
      </x:c>
      <x:c r="B23" s="38" t="str">
        <x:v>光道奖励池</x:v>
      </x:c>
      <x:c r="C23" s="38" t="str">
        <x:v>反光蛊</x:v>
      </x:c>
      <x:c r="D23" s="38" t="n">
        <x:v>3</x:v>
      </x:c>
      <x:c r="E23" s="38" t="str">
        <x:v>1–3</x:v>
      </x:c>
      <x:c r="F23" s="38" t="str">
        <x:v>Common</x:v>
      </x:c>
      <x:c r="G23" s="38" t="str">
        <x:v>原著名/效果模组化</x:v>
      </x:c>
      <x:c r="H23" s="38" t="str">
        <x:v>B 纯增幅</x:v>
      </x:c>
      <x:c r="I23" s="38" t="n">
        <x:v>1</x:v>
      </x:c>
      <x:c r="J23" s="38" t="n">
        <x:v>2</x:v>
      </x:c>
      <x:c r="K23" s="38" t="str">
        <x:v>—</x:v>
      </x:c>
      <x:c r="L23" s="38" t="str">
        <x:v>无</x:v>
      </x:c>
      <x:c r="M23" s="38" t="str">
        <x:v>反光壁×2</x:v>
      </x:c>
      <x:c r="N23" s="38" t="str">
        <x:v>两张反光壁各获得1次【返照】：折光格挡额外+3。</x:v>
      </x:c>
      <x:c r="O23" s="38" t="str">
        <x:v>长期技能/防御密度</x:v>
      </x:c>
      <x:c r="P23" s="38" t="str">
        <x:v>折光强化会被聚光重复</x:v>
      </x:c>
      <x:c r="Q23" s="38" t="str">
        <x:v>待实测</x:v>
      </x:c>
      <x:c r="R23" s="43" t="str"/>
    </x:row>
    <x:row r="24">
      <x:c r="A24" s="42" t="str">
        <x:v>GU_HUIGUANGBACK_R2</x:v>
      </x:c>
      <x:c r="B24" s="38" t="str">
        <x:v>光道奖励池</x:v>
      </x:c>
      <x:c r="C24" s="38" t="str">
        <x:v>回光蛊</x:v>
      </x:c>
      <x:c r="D24" s="38" t="n">
        <x:v>2</x:v>
      </x:c>
      <x:c r="E24" s="38" t="str">
        <x:v>2–4</x:v>
      </x:c>
      <x:c r="F24" s="38" t="str">
        <x:v>Uncommon</x:v>
      </x:c>
      <x:c r="G24" s="38" t="str">
        <x:v>原著名/效果模组化</x:v>
      </x:c>
      <x:c r="H24" s="38" t="str">
        <x:v>B 纯增幅</x:v>
      </x:c>
      <x:c r="I24" s="38" t="n">
        <x:v>1</x:v>
      </x:c>
      <x:c r="J24" s="38" t="n">
        <x:v>3</x:v>
      </x:c>
      <x:c r="K24" s="38" t="str">
        <x:v>—</x:v>
      </x:c>
      <x:c r="L24" s="38" t="str">
        <x:v>无</x:v>
      </x:c>
      <x:c r="M24" s="38" t="str">
        <x:v>回照×1</x:v>
      </x:c>
      <x:c r="N24" s="38" t="str">
        <x:v>本场前1次：回收的攻击牌本回合费用-1</x:v>
      </x:c>
      <x:c r="O24" s="38" t="str">
        <x:v>攻击回收 / 攻技攻连段</x:v>
      </x:c>
      <x:c r="P24" s="38" t="str">
        <x:v>纯功能折光不受聚光影响，降低无限循环风险</x:v>
      </x:c>
      <x:c r="Q24" s="38" t="str">
        <x:v>待实测</x:v>
      </x:c>
      <x:c r="R24" s="43" t="str"/>
    </x:row>
    <x:row r="25">
      <x:c r="A25" s="42" t="str">
        <x:v>GU_HUIGUANGBACK_R3</x:v>
      </x:c>
      <x:c r="B25" s="38" t="str">
        <x:v>光道奖励池</x:v>
      </x:c>
      <x:c r="C25" s="38" t="str">
        <x:v>回光蛊</x:v>
      </x:c>
      <x:c r="D25" s="38" t="n">
        <x:v>3</x:v>
      </x:c>
      <x:c r="E25" s="38" t="str">
        <x:v>2–4</x:v>
      </x:c>
      <x:c r="F25" s="38" t="str">
        <x:v>Uncommon</x:v>
      </x:c>
      <x:c r="G25" s="38" t="str">
        <x:v>原著名/效果模组化</x:v>
      </x:c>
      <x:c r="H25" s="38" t="str">
        <x:v>B 纯增幅</x:v>
      </x:c>
      <x:c r="I25" s="38" t="n">
        <x:v>1</x:v>
      </x:c>
      <x:c r="J25" s="38" t="n">
        <x:v>3</x:v>
      </x:c>
      <x:c r="K25" s="38" t="str">
        <x:v>—</x:v>
      </x:c>
      <x:c r="L25" s="38" t="str">
        <x:v>无</x:v>
      </x:c>
      <x:c r="M25" s="38" t="str">
        <x:v>回照×1</x:v>
      </x:c>
      <x:c r="N25" s="38" t="str">
        <x:v>本场前2次：回收的攻击牌本回合费用-1</x:v>
      </x:c>
      <x:c r="O25" s="38" t="str">
        <x:v>攻击回收 / 攻技攻连段</x:v>
      </x:c>
      <x:c r="P25" s="38" t="str">
        <x:v>纯功能折光不受聚光影响，降低无限循环风险</x:v>
      </x:c>
      <x:c r="Q25" s="38" t="str">
        <x:v>待实测</x:v>
      </x:c>
      <x:c r="R25" s="43" t="str"/>
    </x:row>
    <x:row r="26">
      <x:c r="A26" s="42" t="str">
        <x:v>GU_HUIGUANGBACK_R4</x:v>
      </x:c>
      <x:c r="B26" s="38" t="str">
        <x:v>光道奖励池</x:v>
      </x:c>
      <x:c r="C26" s="38" t="str">
        <x:v>回光蛊</x:v>
      </x:c>
      <x:c r="D26" s="38" t="n">
        <x:v>4</x:v>
      </x:c>
      <x:c r="E26" s="38" t="str">
        <x:v>2–4</x:v>
      </x:c>
      <x:c r="F26" s="38" t="str">
        <x:v>Uncommon</x:v>
      </x:c>
      <x:c r="G26" s="38" t="str">
        <x:v>原著名/效果模组化</x:v>
      </x:c>
      <x:c r="H26" s="38" t="str">
        <x:v>B 纯增幅</x:v>
      </x:c>
      <x:c r="I26" s="38" t="n">
        <x:v>1</x:v>
      </x:c>
      <x:c r="J26" s="38" t="n">
        <x:v>3</x:v>
      </x:c>
      <x:c r="K26" s="38" t="str">
        <x:v>—</x:v>
      </x:c>
      <x:c r="L26" s="38" t="str">
        <x:v>无</x:v>
      </x:c>
      <x:c r="M26" s="38" t="str">
        <x:v>回照×1</x:v>
      </x:c>
      <x:c r="N26" s="38" t="str">
        <x:v>本场前2次：回收的攻击牌本回合费用变为0</x:v>
      </x:c>
      <x:c r="O26" s="38" t="str">
        <x:v>攻击回收 / 攻技攻连段</x:v>
      </x:c>
      <x:c r="P26" s="38" t="str">
        <x:v>纯功能折光不受聚光影响，降低无限循环风险</x:v>
      </x:c>
      <x:c r="Q26" s="38" t="str">
        <x:v>待实测</x:v>
      </x:c>
      <x:c r="R26" s="43" t="str"/>
    </x:row>
    <x:row r="27">
      <x:c r="A27" s="42" t="str">
        <x:v>GU_XUANGUANGXUAN_R4</x:v>
      </x:c>
      <x:c r="B27" s="38" t="str">
        <x:v>光道奖励池</x:v>
      </x:c>
      <x:c r="C27" s="38" t="str">
        <x:v>璇光蛊</x:v>
      </x:c>
      <x:c r="D27" s="38" t="n">
        <x:v>4</x:v>
      </x:c>
      <x:c r="E27" s="38" t="str">
        <x:v>4–5</x:v>
      </x:c>
      <x:c r="F27" s="38" t="str">
        <x:v>Uncommon</x:v>
      </x:c>
      <x:c r="G27" s="38" t="str">
        <x:v>原著名/效果模组化</x:v>
      </x:c>
      <x:c r="H27" s="38" t="str">
        <x:v>B 纯增幅</x:v>
      </x:c>
      <x:c r="I27" s="38" t="n">
        <x:v>2</x:v>
      </x:c>
      <x:c r="J27" s="38" t="n">
        <x:v>3</x:v>
      </x:c>
      <x:c r="K27" s="38" t="str">
        <x:v>—</x:v>
      </x:c>
      <x:c r="L27" s="38" t="str">
        <x:v>无</x:v>
      </x:c>
      <x:c r="M27" s="38" t="str">
        <x:v>璇光刃×1 + 璇光幕×1</x:v>
      </x:c>
      <x:c r="N27" s="38" t="str">
        <x:v>两张伴生各获得1次【璇照】：成功折光后额外获得1聚光。</x:v>
      </x:c>
      <x:c r="O27" s="38" t="str">
        <x:v>攻技混合 / 抽牌循环 / 少量聚光</x:v>
      </x:c>
      <x:c r="P27" s="38" t="str">
        <x:v>纯功能折光本身不重复，聚光用于后续数值折光</x:v>
      </x:c>
      <x:c r="Q27" s="38" t="str">
        <x:v>待实测</x:v>
      </x:c>
      <x:c r="R27" s="43" t="str"/>
    </x:row>
    <x:row r="28">
      <x:c r="A28" s="42" t="str">
        <x:v>GU_XUANGUANGXUAN_R5</x:v>
      </x:c>
      <x:c r="B28" s="38" t="str">
        <x:v>光道奖励池</x:v>
      </x:c>
      <x:c r="C28" s="38" t="str">
        <x:v>璇光蛊</x:v>
      </x:c>
      <x:c r="D28" s="38" t="n">
        <x:v>5</x:v>
      </x:c>
      <x:c r="E28" s="38" t="str">
        <x:v>4–5</x:v>
      </x:c>
      <x:c r="F28" s="38" t="str">
        <x:v>Uncommon</x:v>
      </x:c>
      <x:c r="G28" s="38" t="str">
        <x:v>原著名/效果模组化</x:v>
      </x:c>
      <x:c r="H28" s="38" t="str">
        <x:v>B 纯增幅</x:v>
      </x:c>
      <x:c r="I28" s="38" t="n">
        <x:v>2</x:v>
      </x:c>
      <x:c r="J28" s="38" t="n">
        <x:v>3</x:v>
      </x:c>
      <x:c r="K28" s="38" t="str">
        <x:v>—</x:v>
      </x:c>
      <x:c r="L28" s="38" t="str">
        <x:v>无</x:v>
      </x:c>
      <x:c r="M28" s="38" t="str">
        <x:v>璇光刃×1 + 璇光幕×1</x:v>
      </x:c>
      <x:c r="N28" s="38" t="str">
        <x:v>两张伴生各获得1次【璇照】：成功折光后额外获得1聚光。</x:v>
      </x:c>
      <x:c r="O28" s="38" t="str">
        <x:v>攻技混合 / 抽牌循环 / 少量聚光</x:v>
      </x:c>
      <x:c r="P28" s="38" t="str">
        <x:v>纯功能折光本身不重复，聚光用于后续数值折光</x:v>
      </x:c>
      <x:c r="Q28" s="38" t="str">
        <x:v>待实测</x:v>
      </x:c>
      <x:c r="R28" s="43" t="str"/>
    </x:row>
    <x:row r="29">
      <x:c r="A29" s="42" t="str">
        <x:v>GU_MOONLIGHT_R1</x:v>
      </x:c>
      <x:c r="B29" s="38" t="str">
        <x:v>月系旁系</x:v>
      </x:c>
      <x:c r="C29" s="38" t="str">
        <x:v>月光蛊</x:v>
      </x:c>
      <x:c r="D29" s="38" t="n">
        <x:v>1</x:v>
      </x:c>
      <x:c r="E29" s="38" t="str">
        <x:v>1</x:v>
      </x:c>
      <x:c r="F29" s="38" t="str">
        <x:v>Common</x:v>
      </x:c>
      <x:c r="G29" s="38" t="str">
        <x:v>原著</x:v>
      </x:c>
      <x:c r="H29" s="38" t="str">
        <x:v>A 弱直接</x:v>
      </x:c>
      <x:c r="I29" s="38" t="n">
        <x:v>1</x:v>
      </x:c>
      <x:c r="J29" s="38" t="n">
        <x:v>2</x:v>
      </x:c>
      <x:c r="K29" s="38" t="str">
        <x:v>—</x:v>
      </x:c>
      <x:c r="L29" s="38" t="str">
        <x:v>造成2点伤害</x:v>
      </x:c>
      <x:c r="M29" s="38" t="str">
        <x:v>月刃×1</x:v>
      </x:c>
      <x:c r="N29" s="38" t="str">
        <x:v>月刃获得1层【月华】：每层使折光伤害+2；最多3层；本场最多触发3次。重复催动可加层但不恢复已耗触发次数。</x:v>
      </x:c>
      <x:c r="O29" s="38" t="str">
        <x:v>月系起点 / 单体攻击</x:v>
      </x:c>
      <x:c r="P29" s="38" t="str">
        <x:v>月华强化会被聚光重复，满层爆发需重点观察</x:v>
      </x:c>
      <x:c r="Q29" s="38" t="str">
        <x:v>待实测</x:v>
      </x:c>
      <x:c r="R29" s="43" t="str"/>
    </x:row>
    <x:row r="30">
      <x:c r="A30" s="42" t="str">
        <x:v>GU_JADESKIN_R1</x:v>
      </x:c>
      <x:c r="B30" s="38" t="str">
        <x:v>月系材料</x:v>
      </x:c>
      <x:c r="C30" s="38" t="str">
        <x:v>玉皮蛊</x:v>
      </x:c>
      <x:c r="D30" s="38" t="n">
        <x:v>1</x:v>
      </x:c>
      <x:c r="E30" s="38" t="str">
        <x:v>1</x:v>
      </x:c>
      <x:c r="F30" s="38" t="str">
        <x:v>Common</x:v>
      </x:c>
      <x:c r="G30" s="38" t="str">
        <x:v>原著</x:v>
      </x:c>
      <x:c r="H30" s="38" t="str">
        <x:v>A 弱直接</x:v>
      </x:c>
      <x:c r="I30" s="38" t="n">
        <x:v>1</x:v>
      </x:c>
      <x:c r="J30" s="38" t="n">
        <x:v>2</x:v>
      </x:c>
      <x:c r="K30" s="38" t="str">
        <x:v>—</x:v>
      </x:c>
      <x:c r="L30" s="38" t="str">
        <x:v>获得2点格挡</x:v>
      </x:c>
      <x:c r="M30" s="38" t="str">
        <x:v>玉皮甲×1</x:v>
      </x:c>
      <x:c r="N30" s="38" t="str">
        <x:v>玉皮甲获得1层强化：每层格挡+3；最多3层；本场最多触发3次。重复催动可加层但不恢复已耗触发次数。</x:v>
      </x:c>
      <x:c r="O30" s="38" t="str">
        <x:v>月霓裳合练材料 / 通用防御</x:v>
      </x:c>
      <x:c r="P30" s="38" t="str">
        <x:v>非折光强化，不与聚光相乘</x:v>
      </x:c>
      <x:c r="Q30" s="38" t="str">
        <x:v>待实测</x:v>
      </x:c>
      <x:c r="R30" s="43" t="str"/>
    </x:row>
    <x:row r="31">
      <x:c r="A31" s="42" t="str">
        <x:v>GU_YUENICHANG_R2</x:v>
      </x:c>
      <x:c r="B31" s="38" t="str">
        <x:v>月系旁系</x:v>
      </x:c>
      <x:c r="C31" s="38" t="str">
        <x:v>月霓裳蛊</x:v>
      </x:c>
      <x:c r="D31" s="38" t="n">
        <x:v>2</x:v>
      </x:c>
      <x:c r="E31" s="38" t="str">
        <x:v>2</x:v>
      </x:c>
      <x:c r="F31" s="38" t="str">
        <x:v>Uncommon</x:v>
      </x:c>
      <x:c r="G31" s="38" t="str">
        <x:v>原著名/效果模组化</x:v>
      </x:c>
      <x:c r="H31" s="38" t="str">
        <x:v>B 纯增幅</x:v>
      </x:c>
      <x:c r="I31" s="38" t="n">
        <x:v>1</x:v>
      </x:c>
      <x:c r="J31" s="38" t="n">
        <x:v>2</x:v>
      </x:c>
      <x:c r="K31" s="38" t="str">
        <x:v>—</x:v>
      </x:c>
      <x:c r="L31" s="38" t="str">
        <x:v>无</x:v>
      </x:c>
      <x:c r="M31" s="38" t="str">
        <x:v>月霓×2</x:v>
      </x:c>
      <x:c r="N31" s="38" t="str">
        <x:v>两张月霓各获得1次【霓护】：折光格挡额外+2。</x:v>
      </x:c>
      <x:c r="O31" s="38" t="str">
        <x:v>月系第一次质变 / 防御化</x:v>
      </x:c>
      <x:c r="P31" s="38" t="str">
        <x:v>聚光可把强化后的折光格挡重复一次</x:v>
      </x:c>
      <x:c r="Q31" s="38" t="str">
        <x:v>待实测</x:v>
      </x:c>
      <x:c r="R31" s="43" t="str"/>
    </x:row>
    <x:row r="32">
      <x:c r="A32" s="42" t="str">
        <x:v>GU_HAOYUE_R3</x:v>
      </x:c>
      <x:c r="B32" s="38" t="str">
        <x:v>月系旁系</x:v>
      </x:c>
      <x:c r="C32" s="38" t="str">
        <x:v>皓月霓裳蛊</x:v>
      </x:c>
      <x:c r="D32" s="38" t="n">
        <x:v>3</x:v>
      </x:c>
      <x:c r="E32" s="38" t="str">
        <x:v>3</x:v>
      </x:c>
      <x:c r="F32" s="38" t="str">
        <x:v>Uncommon</x:v>
      </x:c>
      <x:c r="G32" s="38" t="str">
        <x:v>模组原创中间节点</x:v>
      </x:c>
      <x:c r="H32" s="38" t="str">
        <x:v>B 纯增幅</x:v>
      </x:c>
      <x:c r="I32" s="38" t="n">
        <x:v>1</x:v>
      </x:c>
      <x:c r="J32" s="38" t="n">
        <x:v>2</x:v>
      </x:c>
      <x:c r="K32" s="38" t="str">
        <x:v>—</x:v>
      </x:c>
      <x:c r="L32" s="38" t="str">
        <x:v>无</x:v>
      </x:c>
      <x:c r="M32" s="38" t="str">
        <x:v>皓月绶×1 + 皓月引×1</x:v>
      </x:c>
      <x:c r="N32" s="38" t="str">
        <x:v>两张伴生各获得1次【皓辉】：其数值型折光格挡额外+2。</x:v>
      </x:c>
      <x:c r="O32" s="38" t="str">
        <x:v>防御 + 为攻击接续折光</x:v>
      </x:c>
      <x:c r="P32" s="38" t="str">
        <x:v>皓月引的强制折光重复时不叠加</x:v>
      </x:c>
      <x:c r="Q32" s="38" t="str">
        <x:v>待实测</x:v>
      </x:c>
      <x:c r="R32" s="43" t="str"/>
    </x:row>
    <x:row r="33">
      <x:c r="A33" s="42" t="str">
        <x:v>GU_BAOYUENICHANG_R4</x:v>
      </x:c>
      <x:c r="B33" s="38" t="str">
        <x:v>月系旁系</x:v>
      </x:c>
      <x:c r="C33" s="38" t="str">
        <x:v>宝月霓裳蛊</x:v>
      </x:c>
      <x:c r="D33" s="38" t="n">
        <x:v>4</x:v>
      </x:c>
      <x:c r="E33" s="38" t="str">
        <x:v>4</x:v>
      </x:c>
      <x:c r="F33" s="38" t="str">
        <x:v>Rare</x:v>
      </x:c>
      <x:c r="G33" s="38" t="str">
        <x:v>模组原创中间节点</x:v>
      </x:c>
      <x:c r="H33" s="38" t="str">
        <x:v>B 纯增幅</x:v>
      </x:c>
      <x:c r="I33" s="38" t="n">
        <x:v>2</x:v>
      </x:c>
      <x:c r="J33" s="38" t="n">
        <x:v>3</x:v>
      </x:c>
      <x:c r="K33" s="38" t="str">
        <x:v>—</x:v>
      </x:c>
      <x:c r="L33" s="38" t="str">
        <x:v>无</x:v>
      </x:c>
      <x:c r="M33" s="38" t="str">
        <x:v>宝月衣×1</x:v>
      </x:c>
      <x:c r="N33" s="38" t="str">
        <x:v>宝月衣获得2次【宝霓】：折光格挡额外+3。</x:v>
      </x:c>
      <x:c r="O33" s="38" t="str">
        <x:v>单张高质量防御 / 接续攻击</x:v>
      </x:c>
      <x:c r="P33" s="38" t="str">
        <x:v>聚光重复后单卡格挡非常高，需实测</x:v>
      </x:c>
      <x:c r="Q33" s="38" t="str">
        <x:v>待实测</x:v>
      </x:c>
      <x:c r="R33" s="43" t="str"/>
    </x:row>
    <x:row r="34">
      <x:c r="A34" s="44" t="str">
        <x:v>GU_BAOYUEWANG_R5</x:v>
      </x:c>
      <x:c r="B34" s="130" t="str">
        <x:v>月系旁系</x:v>
      </x:c>
      <x:c r="C34" s="130" t="str">
        <x:v>宝月光王蛊</x:v>
      </x:c>
      <x:c r="D34" s="130" t="n">
        <x:v>5</x:v>
      </x:c>
      <x:c r="E34" s="130" t="str">
        <x:v>5</x:v>
      </x:c>
      <x:c r="F34" s="130" t="str">
        <x:v>Rare</x:v>
      </x:c>
      <x:c r="G34" s="130" t="str">
        <x:v>原著名/效果模组化</x:v>
      </x:c>
      <x:c r="H34" s="130" t="str">
        <x:v>B 纯增幅</x:v>
      </x:c>
      <x:c r="I34" s="130" t="n">
        <x:v>2</x:v>
      </x:c>
      <x:c r="J34" s="130" t="n">
        <x:v>3</x:v>
      </x:c>
      <x:c r="K34" s="130" t="str">
        <x:v>—</x:v>
      </x:c>
      <x:c r="L34" s="130" t="str">
        <x:v>无</x:v>
      </x:c>
      <x:c r="M34" s="130" t="str">
        <x:v>宝月王衣×1 + 月王辉×1</x:v>
      </x:c>
      <x:c r="N34" s="130" t="str">
        <x:v>宝月王衣获得1次强化：折光格挡额外+4；月王辉获得1次强化：本次折光额外获得1聚光（总计2）。</x:v>
      </x:c>
      <x:c r="O34" s="130" t="str">
        <x:v>五转月系终点 / 六转并流接口</x:v>
      </x:c>
      <x:c r="P34" s="130" t="str">
        <x:v>宝月王衣可吃聚光，月王辉负责给下一次攻击准备重复机会</x:v>
      </x:c>
      <x:c r="Q34" s="130" t="str">
        <x:v>待实测</x:v>
      </x:c>
      <x:c r="R34" s="45" t="str"/>
    </x:row>
  </x:sheetData>
  <x:conditionalFormatting sqref="Q2:Q34">
    <x:cfRule type="expression" dxfId="0" priority="1">
      <x:formula>Q2="需削弱"</x:formula>
    </x:cfRule>
    <x:cfRule type="expression" dxfId="1" priority="2">
      <x:formula>Q2="需加强"</x:formula>
    </x:cfRule>
    <x:cfRule type="expression" dxfId="2" priority="3">
      <x:formula>Q2="机制待改"</x:formula>
    </x:cfRule>
  </x:conditionalFormatting>
  <x:dataValidations count="1">
    <x:dataValidation type="list" sqref="Q2:Q34">
      <x:formula1>"待实测,已测试,需削弱,需加强,机制待改"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1a92d816f347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7" hidden="0" customWidth="1"/>
    <x:col min="5" max="5" width="18" hidden="0" customWidth="1"/>
    <x:col min="6" max="6" width="8" hidden="0" customWidth="1"/>
    <x:col min="7" max="7" width="7" hidden="0" customWidth="1"/>
    <x:col min="8" max="8" width="7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44" hidden="0" customWidth="1"/>
    <x:col min="14" max="14" width="52" hidden="0" customWidth="1"/>
    <x:col min="15" max="15" width="12" hidden="0" customWidth="1"/>
    <x:col min="16" max="16" width="38" hidden="0" customWidth="1"/>
    <x:col min="17" max="17" width="12" hidden="0" customWidth="1"/>
    <x:col min="18" max="18" width="16" hidden="0" customWidth="1"/>
    <x:col min="19" max="19" width="18" hidden="0" customWidth="1"/>
    <x:col min="20" max="20" width="12" hidden="0" customWidth="1"/>
  </x:cols>
  <x:sheetData>
    <x:row r="1">
      <x:c r="A1" s="24" t="str">
        <x:v>CardID</x:v>
      </x:c>
      <x:c r="B1" s="124" t="str">
        <x:v>路线</x:v>
      </x:c>
      <x:c r="C1" s="124" t="str">
        <x:v>父蛊</x:v>
      </x:c>
      <x:c r="D1" s="124" t="str">
        <x:v>转数</x:v>
      </x:c>
      <x:c r="E1" s="124" t="str">
        <x:v>伴生牌</x:v>
      </x:c>
      <x:c r="F1" s="124" t="str">
        <x:v>类型</x:v>
      </x:c>
      <x:c r="G1" s="124" t="str">
        <x:v>数量</x:v>
      </x:c>
      <x:c r="H1" s="124" t="str">
        <x:v>能量</x:v>
      </x:c>
      <x:c r="I1" s="124" t="str">
        <x:v>基础伤害</x:v>
      </x:c>
      <x:c r="J1" s="124" t="str">
        <x:v>基础格挡</x:v>
      </x:c>
      <x:c r="K1" s="124" t="str">
        <x:v>折光伤害</x:v>
      </x:c>
      <x:c r="L1" s="124" t="str">
        <x:v>折光格挡</x:v>
      </x:c>
      <x:c r="M1" s="124" t="str">
        <x:v>折光功能</x:v>
      </x:c>
      <x:c r="N1" s="124" t="str">
        <x:v>催动后强化</x:v>
      </x:c>
      <x:c r="O1" s="124" t="str">
        <x:v>强化触发次数</x:v>
      </x:c>
      <x:c r="P1" s="124" t="str">
        <x:v>备注</x:v>
      </x:c>
      <x:c r="Q1" s="124" t="str">
        <x:v>基础数值</x:v>
      </x:c>
      <x:c r="R1" s="124" t="str">
        <x:v>自然折光总数值</x:v>
      </x:c>
      <x:c r="S1" s="124" t="str">
        <x:v>聚光重复后总数值</x:v>
      </x:c>
      <x:c r="T1" s="25" t="str">
        <x:v>可消耗聚光</x:v>
      </x:c>
    </x:row>
    <x:row r="2">
      <x:c r="A2" s="40" t="str">
        <x:v>C_HUIGUANGJIAN_R1</x:v>
      </x:c>
      <x:c r="B2" s="129" t="str">
        <x:v>光道主线</x:v>
      </x:c>
      <x:c r="C2" s="129" t="str">
        <x:v>辉光蛊</x:v>
      </x:c>
      <x:c r="D2" s="129" t="n">
        <x:v>1</x:v>
      </x:c>
      <x:c r="E2" s="129" t="str">
        <x:v>辉光矢</x:v>
      </x:c>
      <x:c r="F2" s="129" t="str">
        <x:v>攻击</x:v>
      </x:c>
      <x:c r="G2" s="129" t="n">
        <x:v>2</x:v>
      </x:c>
      <x:c r="H2" s="129" t="n">
        <x:v>1</x:v>
      </x:c>
      <x:c r="I2" s="129" t="n">
        <x:v>5</x:v>
      </x:c>
      <x:c r="J2" s="129" t="n">
        <x:v>0</x:v>
      </x:c>
      <x:c r="K2" s="129" t="n">
        <x:v>3</x:v>
      </x:c>
      <x:c r="L2" s="129" t="n">
        <x:v>0</x:v>
      </x:c>
      <x:c r="M2" s="129" t="str">
        <x:v>—</x:v>
      </x:c>
      <x:c r="N2" s="129" t="str">
        <x:v>辉映：每层折光伤害+1；R1催动给1层，R2给2层</x:v>
      </x:c>
      <x:c r="O2" s="129" t="n">
        <x:v>2</x:v>
      </x:c>
      <x:c r="P2" s="129" t="str">
        <x:v>数值型折光，可消耗1聚光并重复整段折光</x:v>
      </x:c>
      <x:c r="Q2" s="129" t="n">
        <x:f>I2+J2</x:f>
        <x:v>5</x:v>
      </x:c>
      <x:c r="R2" s="129" t="n">
        <x:f>I2+J2+K2+L2</x:f>
        <x:v>8</x:v>
      </x:c>
      <x:c r="S2" s="129" t="n">
        <x:f>I2+J2+2*(K2+L2)</x:f>
        <x:v>11</x:v>
      </x:c>
      <x:c r="T2" s="41" t="str">
        <x:f>IF(K2+L2&gt;0,"是","否")</x:f>
        <x:v>是</x:v>
      </x:c>
    </x:row>
    <x:row r="3">
      <x:c r="A3" s="42" t="str">
        <x:v>C_HUIGUANGJIAN_R2</x:v>
      </x:c>
      <x:c r="B3" s="38" t="str">
        <x:v>光道主线</x:v>
      </x:c>
      <x:c r="C3" s="38" t="str">
        <x:v>辉光蛊</x:v>
      </x:c>
      <x:c r="D3" s="38" t="n">
        <x:v>2</x:v>
      </x:c>
      <x:c r="E3" s="38" t="str">
        <x:v>辉光矢</x:v>
      </x:c>
      <x:c r="F3" s="38" t="str">
        <x:v>攻击</x:v>
      </x:c>
      <x:c r="G3" s="38" t="n">
        <x:v>2</x:v>
      </x:c>
      <x:c r="H3" s="38" t="n">
        <x:v>1</x:v>
      </x:c>
      <x:c r="I3" s="38" t="n">
        <x:v>5</x:v>
      </x:c>
      <x:c r="J3" s="38" t="n">
        <x:v>0</x:v>
      </x:c>
      <x:c r="K3" s="38" t="n">
        <x:v>3</x:v>
      </x:c>
      <x:c r="L3" s="38" t="n">
        <x:v>0</x:v>
      </x:c>
      <x:c r="M3" s="38" t="str">
        <x:v>—</x:v>
      </x:c>
      <x:c r="N3" s="38" t="str">
        <x:v>辉映：每层折光伤害+1；R1催动给1层，R2给2层</x:v>
      </x:c>
      <x:c r="O3" s="38" t="n">
        <x:v>2</x:v>
      </x:c>
      <x:c r="P3" s="38" t="str">
        <x:v>数值型折光，可消耗1聚光并重复整段折光</x:v>
      </x:c>
      <x:c r="Q3" s="38" t="n">
        <x:f>I3+J3</x:f>
        <x:v>5</x:v>
      </x:c>
      <x:c r="R3" s="38" t="n">
        <x:f>I3+J3+K3+L3</x:f>
        <x:v>8</x:v>
      </x:c>
      <x:c r="S3" s="38" t="n">
        <x:f>I3+J3+2*(K3+L3)</x:f>
        <x:v>11</x:v>
      </x:c>
      <x:c r="T3" s="43" t="str">
        <x:f>IF(K3+L3&gt;0,"是","否")</x:f>
        <x:v>是</x:v>
      </x:c>
    </x:row>
    <x:row r="4">
      <x:c r="A4" s="42" t="str">
        <x:v>C_XUANGUANGMU_R2</x:v>
      </x:c>
      <x:c r="B4" s="38" t="str">
        <x:v>光道材料/辅助</x:v>
      </x:c>
      <x:c r="C4" s="38" t="str">
        <x:v>炫光蛊</x:v>
      </x:c>
      <x:c r="D4" s="38" t="n">
        <x:v>2</x:v>
      </x:c>
      <x:c r="E4" s="38" t="str">
        <x:v>炫光幕</x:v>
      </x:c>
      <x:c r="F4" s="38" t="str">
        <x:v>技能</x:v>
      </x:c>
      <x:c r="G4" s="38" t="n">
        <x:v>1</x:v>
      </x:c>
      <x:c r="H4" s="38" t="n">
        <x:v>1</x:v>
      </x:c>
      <x:c r="I4" s="38" t="n">
        <x:v>0</x:v>
      </x:c>
      <x:c r="J4" s="38" t="n">
        <x:v>5</x:v>
      </x:c>
      <x:c r="K4" s="38" t="n">
        <x:v>0</x:v>
      </x:c>
      <x:c r="L4" s="38" t="n">
        <x:v>2</x:v>
      </x:c>
      <x:c r="M4" s="38" t="str">
        <x:v>折光后：下一张攻击牌强制折光</x:v>
      </x:c>
      <x:c r="N4" s="38" t="str">
        <x:v>本场前2次折光额外格挡+2</x:v>
      </x:c>
      <x:c r="O4" s="38" t="n">
        <x:v>2</x:v>
      </x:c>
      <x:c r="P4" s="38" t="str">
        <x:v>数值+功能混合折光；重复时强制折光不叠层</x:v>
      </x:c>
      <x:c r="Q4" s="38" t="n">
        <x:f>I4+J4</x:f>
        <x:v>5</x:v>
      </x:c>
      <x:c r="R4" s="38" t="n">
        <x:f>I4+J4+K4+L4</x:f>
        <x:v>7</x:v>
      </x:c>
      <x:c r="S4" s="38" t="n">
        <x:f>I4+J4+2*(K4+L4)</x:f>
        <x:v>9</x:v>
      </x:c>
      <x:c r="T4" s="43" t="str">
        <x:f>IF(K4+L4&gt;0,"是","否")</x:f>
        <x:v>是</x:v>
      </x:c>
    </x:row>
    <x:row r="5">
      <x:c r="A5" s="42" t="str">
        <x:v>C_XUANGUANGMU_R3</x:v>
      </x:c>
      <x:c r="B5" s="38" t="str">
        <x:v>光道材料/辅助</x:v>
      </x:c>
      <x:c r="C5" s="38" t="str">
        <x:v>炫光蛊</x:v>
      </x:c>
      <x:c r="D5" s="38" t="n">
        <x:v>3</x:v>
      </x:c>
      <x:c r="E5" s="38" t="str">
        <x:v>炫光幕</x:v>
      </x:c>
      <x:c r="F5" s="38" t="str">
        <x:v>技能</x:v>
      </x:c>
      <x:c r="G5" s="38" t="n">
        <x:v>1</x:v>
      </x:c>
      <x:c r="H5" s="38" t="n">
        <x:v>1</x:v>
      </x:c>
      <x:c r="I5" s="38" t="n">
        <x:v>0</x:v>
      </x:c>
      <x:c r="J5" s="38" t="n">
        <x:v>5</x:v>
      </x:c>
      <x:c r="K5" s="38" t="n">
        <x:v>0</x:v>
      </x:c>
      <x:c r="L5" s="38" t="n">
        <x:v>2</x:v>
      </x:c>
      <x:c r="M5" s="38" t="str">
        <x:v>折光后：下一张攻击牌强制折光</x:v>
      </x:c>
      <x:c r="N5" s="38" t="str">
        <x:v>本场前2次折光额外格挡+3</x:v>
      </x:c>
      <x:c r="O5" s="38" t="n">
        <x:v>2</x:v>
      </x:c>
      <x:c r="P5" s="38" t="str">
        <x:v>数值+功能混合折光；重复时强制折光不叠层</x:v>
      </x:c>
      <x:c r="Q5" s="38" t="n">
        <x:f>I5+J5</x:f>
        <x:v>5</x:v>
      </x:c>
      <x:c r="R5" s="38" t="n">
        <x:f>I5+J5+K5+L5</x:f>
        <x:v>7</x:v>
      </x:c>
      <x:c r="S5" s="38" t="n">
        <x:f>I5+J5+2*(K5+L5)</x:f>
        <x:v>9</x:v>
      </x:c>
      <x:c r="T5" s="43" t="str">
        <x:f>IF(K5+L5&gt;0,"是","否")</x:f>
        <x:v>是</x:v>
      </x:c>
    </x:row>
    <x:row r="6">
      <x:c r="A6" s="42" t="str">
        <x:v>C_XUANGUANGMU_R4</x:v>
      </x:c>
      <x:c r="B6" s="38" t="str">
        <x:v>光道材料/辅助</x:v>
      </x:c>
      <x:c r="C6" s="38" t="str">
        <x:v>炫光蛊</x:v>
      </x:c>
      <x:c r="D6" s="38" t="n">
        <x:v>4</x:v>
      </x:c>
      <x:c r="E6" s="38" t="str">
        <x:v>炫光幕</x:v>
      </x:c>
      <x:c r="F6" s="38" t="str">
        <x:v>技能</x:v>
      </x:c>
      <x:c r="G6" s="38" t="n">
        <x:v>1</x:v>
      </x:c>
      <x:c r="H6" s="38" t="n">
        <x:v>1</x:v>
      </x:c>
      <x:c r="I6" s="38" t="n">
        <x:v>0</x:v>
      </x:c>
      <x:c r="J6" s="38" t="n">
        <x:v>5</x:v>
      </x:c>
      <x:c r="K6" s="38" t="n">
        <x:v>0</x:v>
      </x:c>
      <x:c r="L6" s="38" t="n">
        <x:v>2</x:v>
      </x:c>
      <x:c r="M6" s="38" t="str">
        <x:v>折光后：下一张攻击牌强制折光</x:v>
      </x:c>
      <x:c r="N6" s="38" t="str">
        <x:v>本场前2次折光额外格挡+4</x:v>
      </x:c>
      <x:c r="O6" s="38" t="n">
        <x:v>2</x:v>
      </x:c>
      <x:c r="P6" s="38" t="str">
        <x:v>数值+功能混合折光；重复时强制折光不叠层</x:v>
      </x:c>
      <x:c r="Q6" s="38" t="n">
        <x:f>I6+J6</x:f>
        <x:v>5</x:v>
      </x:c>
      <x:c r="R6" s="38" t="n">
        <x:f>I6+J6+K6+L6</x:f>
        <x:v>7</x:v>
      </x:c>
      <x:c r="S6" s="38" t="n">
        <x:f>I6+J6+2*(K6+L6)</x:f>
        <x:v>9</x:v>
      </x:c>
      <x:c r="T6" s="43" t="str">
        <x:f>IF(K6+L6&gt;0,"是","否")</x:f>
        <x:v>是</x:v>
      </x:c>
    </x:row>
    <x:row r="7">
      <x:c r="A7" s="42" t="str">
        <x:v>C_HONGBU_R3</x:v>
      </x:c>
      <x:c r="B7" s="38" t="str">
        <x:v>光道主线</x:v>
      </x:c>
      <x:c r="C7" s="38" t="str">
        <x:v>光虹蛊</x:v>
      </x:c>
      <x:c r="D7" s="38" t="n">
        <x:v>3</x:v>
      </x:c>
      <x:c r="E7" s="38" t="str">
        <x:v>虹步</x:v>
      </x:c>
      <x:c r="F7" s="38" t="str">
        <x:v>技能</x:v>
      </x:c>
      <x:c r="G7" s="38" t="n">
        <x:v>2</x:v>
      </x:c>
      <x:c r="H7" s="38" t="n">
        <x:v>1</x:v>
      </x:c>
      <x:c r="I7" s="38" t="n">
        <x:v>0</x:v>
      </x:c>
      <x:c r="J7" s="38" t="n">
        <x:v>5</x:v>
      </x:c>
      <x:c r="K7" s="38" t="n">
        <x:v>0</x:v>
      </x:c>
      <x:c r="L7" s="38" t="n">
        <x:v>0</x:v>
      </x:c>
      <x:c r="M7" s="38" t="str">
        <x:v>折光：抽1张牌</x:v>
      </x:c>
      <x:c r="N7" s="38" t="str">
        <x:v>虹行：折光后下一张有折光段的牌强制折光</x:v>
      </x:c>
      <x:c r="O7" s="38" t="n">
        <x:v>1</x:v>
      </x:c>
      <x:c r="P7" s="38" t="str">
        <x:v>纯功能折光，不消耗聚光</x:v>
      </x:c>
      <x:c r="Q7" s="38" t="n">
        <x:f>I7+J7</x:f>
        <x:v>5</x:v>
      </x:c>
      <x:c r="R7" s="38" t="n">
        <x:f>I7+J7+K7+L7</x:f>
        <x:v>5</x:v>
      </x:c>
      <x:c r="S7" s="38" t="n">
        <x:f>I7+J7+2*(K7+L7)</x:f>
        <x:v>5</x:v>
      </x:c>
      <x:c r="T7" s="43" t="str">
        <x:f>IF(K7+L7&gt;0,"是","否")</x:f>
        <x:v>否</x:v>
      </x:c>
    </x:row>
    <x:row r="8">
      <x:c r="A8" s="42" t="str">
        <x:v>C_YINGUANG_R1</x:v>
      </x:c>
      <x:c r="B8" s="38" t="str">
        <x:v>光道材料/辅助</x:v>
      </x:c>
      <x:c r="C8" s="38" t="str">
        <x:v>光源蛊</x:v>
      </x:c>
      <x:c r="D8" s="38" t="n">
        <x:v>1</x:v>
      </x:c>
      <x:c r="E8" s="38" t="str">
        <x:v>引光</x:v>
      </x:c>
      <x:c r="F8" s="38" t="str">
        <x:v>技能</x:v>
      </x:c>
      <x:c r="G8" s="38" t="n">
        <x:v>1</x:v>
      </x:c>
      <x:c r="H8" s="38" t="n">
        <x:v>1</x:v>
      </x:c>
      <x:c r="I8" s="38" t="n">
        <x:v>0</x:v>
      </x:c>
      <x:c r="J8" s="38" t="n">
        <x:v>4</x:v>
      </x:c>
      <x:c r="K8" s="38" t="n">
        <x:v>0</x:v>
      </x:c>
      <x:c r="L8" s="38" t="n">
        <x:v>0</x:v>
      </x:c>
      <x:c r="M8" s="38" t="str">
        <x:v>折光：回复1元气</x:v>
      </x:c>
      <x:c r="N8" s="38" t="str">
        <x:v>本场前2次折光额外获得2格挡</x:v>
      </x:c>
      <x:c r="O8" s="38" t="n">
        <x:v>2</x:v>
      </x:c>
      <x:c r="P8" s="38" t="str">
        <x:v>原始折光段为纯功能；催动增加的额外格挡视为强化附加值，不使该牌获得聚光重复资格</x:v>
      </x:c>
      <x:c r="Q8" s="38" t="n">
        <x:f>I8+J8</x:f>
        <x:v>4</x:v>
      </x:c>
      <x:c r="R8" s="38" t="n">
        <x:f>I8+J8+K8+L8</x:f>
        <x:v>4</x:v>
      </x:c>
      <x:c r="S8" s="38" t="n">
        <x:f>I8+J8+2*(K8+L8)</x:f>
        <x:v>4</x:v>
      </x:c>
      <x:c r="T8" s="43" t="str">
        <x:f>IF(K8+L8&gt;0,"是","否")</x:f>
        <x:v>否</x:v>
      </x:c>
    </x:row>
    <x:row r="9">
      <x:c r="A9" s="42" t="str">
        <x:v>C_YINGUANG_R2</x:v>
      </x:c>
      <x:c r="B9" s="38" t="str">
        <x:v>光道材料/辅助</x:v>
      </x:c>
      <x:c r="C9" s="38" t="str">
        <x:v>光源蛊</x:v>
      </x:c>
      <x:c r="D9" s="38" t="n">
        <x:v>2</x:v>
      </x:c>
      <x:c r="E9" s="38" t="str">
        <x:v>引光</x:v>
      </x:c>
      <x:c r="F9" s="38" t="str">
        <x:v>技能</x:v>
      </x:c>
      <x:c r="G9" s="38" t="n">
        <x:v>1</x:v>
      </x:c>
      <x:c r="H9" s="38" t="n">
        <x:v>1</x:v>
      </x:c>
      <x:c r="I9" s="38" t="n">
        <x:v>0</x:v>
      </x:c>
      <x:c r="J9" s="38" t="n">
        <x:v>4</x:v>
      </x:c>
      <x:c r="K9" s="38" t="n">
        <x:v>0</x:v>
      </x:c>
      <x:c r="L9" s="38" t="n">
        <x:v>0</x:v>
      </x:c>
      <x:c r="M9" s="38" t="str">
        <x:v>折光：回复1元气</x:v>
      </x:c>
      <x:c r="N9" s="38" t="str">
        <x:v>本场前2次折光额外获得3格挡</x:v>
      </x:c>
      <x:c r="O9" s="38" t="n">
        <x:v>2</x:v>
      </x:c>
      <x:c r="P9" s="38" t="str">
        <x:v>原始折光段为纯功能；催动增加的额外格挡视为强化附加值，不使该牌获得聚光重复资格</x:v>
      </x:c>
      <x:c r="Q9" s="38" t="n">
        <x:f>I9+J9</x:f>
        <x:v>4</x:v>
      </x:c>
      <x:c r="R9" s="38" t="n">
        <x:f>I9+J9+K9+L9</x:f>
        <x:v>4</x:v>
      </x:c>
      <x:c r="S9" s="38" t="n">
        <x:f>I9+J9+2*(K9+L9)</x:f>
        <x:v>4</x:v>
      </x:c>
      <x:c r="T9" s="43" t="str">
        <x:f>IF(K9+L9&gt;0,"是","否")</x:f>
        <x:v>否</x:v>
      </x:c>
    </x:row>
    <x:row r="10">
      <x:c r="A10" s="42" t="str">
        <x:v>C_YINGUANG_R3</x:v>
      </x:c>
      <x:c r="B10" s="38" t="str">
        <x:v>光道材料/辅助</x:v>
      </x:c>
      <x:c r="C10" s="38" t="str">
        <x:v>光源蛊</x:v>
      </x:c>
      <x:c r="D10" s="38" t="n">
        <x:v>3</x:v>
      </x:c>
      <x:c r="E10" s="38" t="str">
        <x:v>引光</x:v>
      </x:c>
      <x:c r="F10" s="38" t="str">
        <x:v>技能</x:v>
      </x:c>
      <x:c r="G10" s="38" t="n">
        <x:v>1</x:v>
      </x:c>
      <x:c r="H10" s="38" t="n">
        <x:v>1</x:v>
      </x:c>
      <x:c r="I10" s="38" t="n">
        <x:v>0</x:v>
      </x:c>
      <x:c r="J10" s="38" t="n">
        <x:v>4</x:v>
      </x:c>
      <x:c r="K10" s="38" t="n">
        <x:v>0</x:v>
      </x:c>
      <x:c r="L10" s="38" t="n">
        <x:v>0</x:v>
      </x:c>
      <x:c r="M10" s="38" t="str">
        <x:v>折光：回复1元气</x:v>
      </x:c>
      <x:c r="N10" s="38" t="str">
        <x:v>本场前2次折光额外获得4格挡</x:v>
      </x:c>
      <x:c r="O10" s="38" t="n">
        <x:v>2</x:v>
      </x:c>
      <x:c r="P10" s="38" t="str">
        <x:v>原始折光段为纯功能；催动增加的额外格挡视为强化附加值，不使该牌获得聚光重复资格</x:v>
      </x:c>
      <x:c r="Q10" s="38" t="n">
        <x:f>I10+J10</x:f>
        <x:v>4</x:v>
      </x:c>
      <x:c r="R10" s="38" t="n">
        <x:f>I10+J10+K10+L10</x:f>
        <x:v>4</x:v>
      </x:c>
      <x:c r="S10" s="38" t="n">
        <x:f>I10+J10+2*(K10+L10)</x:f>
        <x:v>4</x:v>
      </x:c>
      <x:c r="T10" s="43" t="str">
        <x:f>IF(K10+L10&gt;0,"是","否")</x:f>
        <x:v>否</x:v>
      </x:c>
    </x:row>
    <x:row r="11">
      <x:c r="A11" s="42" t="str">
        <x:v>C_JUGUANGJING_R4</x:v>
      </x:c>
      <x:c r="B11" s="38" t="str">
        <x:v>光道主线</x:v>
      </x:c>
      <x:c r="C11" s="38" t="str">
        <x:v>聚光蛊</x:v>
      </x:c>
      <x:c r="D11" s="38" t="n">
        <x:v>4</x:v>
      </x:c>
      <x:c r="E11" s="38" t="str">
        <x:v>聚光镜</x:v>
      </x:c>
      <x:c r="F11" s="38" t="str">
        <x:v>技能</x:v>
      </x:c>
      <x:c r="G11" s="38" t="n">
        <x:v>1</x:v>
      </x:c>
      <x:c r="H11" s="38" t="n">
        <x:v>1</x:v>
      </x:c>
      <x:c r="I11" s="38" t="n">
        <x:v>0</x:v>
      </x:c>
      <x:c r="J11" s="38" t="n">
        <x:v>6</x:v>
      </x:c>
      <x:c r="K11" s="38" t="n">
        <x:v>0</x:v>
      </x:c>
      <x:c r="L11" s="38" t="n">
        <x:v>0</x:v>
      </x:c>
      <x:c r="M11" s="38" t="str">
        <x:v>折光：获得1聚光</x:v>
      </x:c>
      <x:c r="N11" s="38" t="str">
        <x:v>汇光：本场前2次折光额外获得1聚光（总计2）</x:v>
      </x:c>
      <x:c r="O11" s="38" t="n">
        <x:v>2</x:v>
      </x:c>
      <x:c r="P11" s="38" t="str">
        <x:v>纯功能折光，不消耗聚光；是主要聚光生成器</x:v>
      </x:c>
      <x:c r="Q11" s="38" t="n">
        <x:f>I11+J11</x:f>
        <x:v>6</x:v>
      </x:c>
      <x:c r="R11" s="38" t="n">
        <x:f>I11+J11+K11+L11</x:f>
        <x:v>6</x:v>
      </x:c>
      <x:c r="S11" s="38" t="n">
        <x:f>I11+J11+2*(K11+L11)</x:f>
        <x:v>6</x:v>
      </x:c>
      <x:c r="T11" s="43" t="str">
        <x:f>IF(K11+L11&gt;0,"是","否")</x:f>
        <x:v>否</x:v>
      </x:c>
    </x:row>
    <x:row r="12">
      <x:c r="A12" s="42" t="str">
        <x:v>C_JIEGUANGSHU_R4</x:v>
      </x:c>
      <x:c r="B12" s="38" t="str">
        <x:v>光道材料/辅助</x:v>
      </x:c>
      <x:c r="C12" s="38" t="str">
        <x:v>借光蛊</x:v>
      </x:c>
      <x:c r="D12" s="38" t="n">
        <x:v>4</x:v>
      </x:c>
      <x:c r="E12" s="38" t="str">
        <x:v>借光束</x:v>
      </x:c>
      <x:c r="F12" s="38" t="str">
        <x:v>攻击</x:v>
      </x:c>
      <x:c r="G12" s="38" t="n">
        <x:v>1</x:v>
      </x:c>
      <x:c r="H12" s="38" t="n">
        <x:v>1</x:v>
      </x:c>
      <x:c r="I12" s="38" t="n">
        <x:v>6</x:v>
      </x:c>
      <x:c r="J12" s="38" t="n">
        <x:v>0</x:v>
      </x:c>
      <x:c r="K12" s="38" t="n">
        <x:v>0</x:v>
      </x:c>
      <x:c r="L12" s="38" t="n">
        <x:v>0</x:v>
      </x:c>
      <x:c r="M12" s="38" t="str">
        <x:v>折光：若当前聚光为0，获得1聚光</x:v>
      </x:c>
      <x:c r="N12" s="38" t="str">
        <x:v>借辉：本场前2次折光改为无条件获得1聚光</x:v>
      </x:c>
      <x:c r="O12" s="38" t="n">
        <x:v>2</x:v>
      </x:c>
      <x:c r="P12" s="38" t="str">
        <x:v>纯功能折光；用于补空而非大量囤积</x:v>
      </x:c>
      <x:c r="Q12" s="38" t="n">
        <x:f>I12+J12</x:f>
        <x:v>6</x:v>
      </x:c>
      <x:c r="R12" s="38" t="n">
        <x:f>I12+J12+K12+L12</x:f>
        <x:v>6</x:v>
      </x:c>
      <x:c r="S12" s="38" t="n">
        <x:f>I12+J12+2*(K12+L12)</x:f>
        <x:v>6</x:v>
      </x:c>
      <x:c r="T12" s="43" t="str">
        <x:f>IF(K12+L12&gt;0,"是","否")</x:f>
        <x:v>否</x:v>
      </x:c>
    </x:row>
    <x:row r="13">
      <x:c r="A13" s="42" t="str">
        <x:v>C_TAIGUANGGUAN_R5</x:v>
      </x:c>
      <x:c r="B13" s="38" t="str">
        <x:v>光道主线</x:v>
      </x:c>
      <x:c r="C13" s="38" t="str">
        <x:v>太光蛊</x:v>
      </x:c>
      <x:c r="D13" s="38" t="n">
        <x:v>5</x:v>
      </x:c>
      <x:c r="E13" s="38" t="str">
        <x:v>太光贯</x:v>
      </x:c>
      <x:c r="F13" s="38" t="str">
        <x:v>攻击</x:v>
      </x:c>
      <x:c r="G13" s="38" t="n">
        <x:v>1</x:v>
      </x:c>
      <x:c r="H13" s="38" t="n">
        <x:v>1</x:v>
      </x:c>
      <x:c r="I13" s="38" t="n">
        <x:v>8</x:v>
      </x:c>
      <x:c r="J13" s="38" t="n">
        <x:v>0</x:v>
      </x:c>
      <x:c r="K13" s="38" t="n">
        <x:v>6</x:v>
      </x:c>
      <x:c r="L13" s="38" t="n">
        <x:v>0</x:v>
      </x:c>
      <x:c r="M13" s="38" t="str">
        <x:v>—</x:v>
      </x:c>
      <x:c r="N13" s="38" t="str">
        <x:v>太照：本场1次；若本次折光因聚光重复，则第二次折光伤害额外+4</x:v>
      </x:c>
      <x:c r="O13" s="38" t="n">
        <x:v>1</x:v>
      </x:c>
      <x:c r="P13" s="38" t="str">
        <x:v>自然折光总14；聚光重复通常20；太照触发时24</x:v>
      </x:c>
      <x:c r="Q13" s="38" t="n">
        <x:f>I13+J13</x:f>
        <x:v>8</x:v>
      </x:c>
      <x:c r="R13" s="38" t="n">
        <x:f>I13+J13+K13+L13</x:f>
        <x:v>14</x:v>
      </x:c>
      <x:c r="S13" s="38" t="n">
        <x:f>I13+J13+2*(K13+L13)</x:f>
        <x:v>20</x:v>
      </x:c>
      <x:c r="T13" s="43" t="str">
        <x:f>IF(K13+L13&gt;0,"是","否")</x:f>
        <x:v>是</x:v>
      </x:c>
    </x:row>
    <x:row r="14">
      <x:c r="A14" s="42" t="str">
        <x:v>C_HENGGUANGREN_R6</x:v>
      </x:c>
      <x:c r="B14" s="38" t="str">
        <x:v>六转后主线</x:v>
      </x:c>
      <x:c r="C14" s="38" t="str">
        <x:v>恒光仙蛊</x:v>
      </x:c>
      <x:c r="D14" s="38" t="n">
        <x:v>6</x:v>
      </x:c>
      <x:c r="E14" s="38" t="str">
        <x:v>恒光刃</x:v>
      </x:c>
      <x:c r="F14" s="38" t="str">
        <x:v>攻击</x:v>
      </x:c>
      <x:c r="G14" s="38" t="n">
        <x:v>1</x:v>
      </x:c>
      <x:c r="H14" s="38" t="n">
        <x:v>1</x:v>
      </x:c>
      <x:c r="I14" s="38" t="n">
        <x:v>8</x:v>
      </x:c>
      <x:c r="J14" s="38" t="n">
        <x:v>0</x:v>
      </x:c>
      <x:c r="K14" s="38" t="n">
        <x:v>5</x:v>
      </x:c>
      <x:c r="L14" s="38" t="n">
        <x:v>0</x:v>
      </x:c>
      <x:c r="M14" s="38" t="str">
        <x:v>—</x:v>
      </x:c>
      <x:c r="N14" s="38" t="str">
        <x:v>恒照：本场1次；若折光因聚光重复，结算后获得1聚光并使下一张有折光段的牌强制折光</x:v>
      </x:c>
      <x:c r="O14" s="38" t="n">
        <x:v>1</x:v>
      </x:c>
      <x:c r="P14" s="38" t="str">
        <x:v>恒光负责把“重复机会”传给后续动作</x:v>
      </x:c>
      <x:c r="Q14" s="38" t="n">
        <x:f>I14+J14</x:f>
        <x:v>8</x:v>
      </x:c>
      <x:c r="R14" s="38" t="n">
        <x:f>I14+J14+K14+L14</x:f>
        <x:v>13</x:v>
      </x:c>
      <x:c r="S14" s="38" t="n">
        <x:f>I14+J14+2*(K14+L14)</x:f>
        <x:v>18</x:v>
      </x:c>
      <x:c r="T14" s="43" t="str">
        <x:f>IF(K14+L14&gt;0,"是","否")</x:f>
        <x:v>是</x:v>
      </x:c>
    </x:row>
    <x:row r="15">
      <x:c r="A15" s="42" t="str">
        <x:v>C_HENGGUANGZHANG_R6</x:v>
      </x:c>
      <x:c r="B15" s="38" t="str">
        <x:v>六转后主线</x:v>
      </x:c>
      <x:c r="C15" s="38" t="str">
        <x:v>恒光仙蛊</x:v>
      </x:c>
      <x:c r="D15" s="38" t="n">
        <x:v>6</x:v>
      </x:c>
      <x:c r="E15" s="38" t="str">
        <x:v>恒光障</x:v>
      </x:c>
      <x:c r="F15" s="38" t="str">
        <x:v>技能</x:v>
      </x:c>
      <x:c r="G15" s="38" t="n">
        <x:v>1</x:v>
      </x:c>
      <x:c r="H15" s="38" t="n">
        <x:v>1</x:v>
      </x:c>
      <x:c r="I15" s="38" t="n">
        <x:v>0</x:v>
      </x:c>
      <x:c r="J15" s="38" t="n">
        <x:v>8</x:v>
      </x:c>
      <x:c r="K15" s="38" t="n">
        <x:v>0</x:v>
      </x:c>
      <x:c r="L15" s="38" t="n">
        <x:v>5</x:v>
      </x:c>
      <x:c r="M15" s="38" t="str">
        <x:v>—</x:v>
      </x:c>
      <x:c r="N15" s="38" t="str">
        <x:v>恒照：本场1次；若折光因聚光重复，结算后获得1聚光并使下一张有折光段的牌强制折光</x:v>
      </x:c>
      <x:c r="O15" s="38" t="n">
        <x:v>1</x:v>
      </x:c>
      <x:c r="P15" s="38" t="str">
        <x:v>与恒光刃组成仙级连续折光动作组</x:v>
      </x:c>
      <x:c r="Q15" s="38" t="n">
        <x:f>I15+J15</x:f>
        <x:v>8</x:v>
      </x:c>
      <x:c r="R15" s="38" t="n">
        <x:f>I15+J15+K15+L15</x:f>
        <x:v>13</x:v>
      </x:c>
      <x:c r="S15" s="38" t="n">
        <x:f>I15+J15+2*(K15+L15)</x:f>
        <x:v>18</x:v>
      </x:c>
      <x:c r="T15" s="43" t="str">
        <x:f>IF(K15+L15&gt;0,"是","否")</x:f>
        <x:v>是</x:v>
      </x:c>
    </x:row>
    <x:row r="16">
      <x:c r="A16" s="42" t="str">
        <x:v>C_HENGGUANGREN_R7</x:v>
      </x:c>
      <x:c r="B16" s="38" t="str">
        <x:v>六转后主线</x:v>
      </x:c>
      <x:c r="C16" s="38" t="str">
        <x:v>恒光仙蛊</x:v>
      </x:c>
      <x:c r="D16" s="38" t="n">
        <x:v>7</x:v>
      </x:c>
      <x:c r="E16" s="38" t="str">
        <x:v>恒光刃</x:v>
      </x:c>
      <x:c r="F16" s="38" t="str">
        <x:v>攻击</x:v>
      </x:c>
      <x:c r="G16" s="38" t="n">
        <x:v>1</x:v>
      </x:c>
      <x:c r="H16" s="38" t="n">
        <x:v>1</x:v>
      </x:c>
      <x:c r="I16" s="38" t="n">
        <x:v>9</x:v>
      </x:c>
      <x:c r="J16" s="38" t="n">
        <x:v>0</x:v>
      </x:c>
      <x:c r="K16" s="38" t="n">
        <x:v>6</x:v>
      </x:c>
      <x:c r="L16" s="38" t="n">
        <x:v>0</x:v>
      </x:c>
      <x:c r="M16" s="38" t="str">
        <x:v>—</x:v>
      </x:c>
      <x:c r="N16" s="38" t="str">
        <x:v>恒照：本场2次；若折光因聚光重复，结算后获得1聚光并使下一张有折光段的牌强制折光</x:v>
      </x:c>
      <x:c r="O16" s="38" t="n">
        <x:v>2</x:v>
      </x:c>
      <x:c r="P16" s="38" t="str">
        <x:v>恒光负责把“重复机会”传给后续动作</x:v>
      </x:c>
      <x:c r="Q16" s="38" t="n">
        <x:f>I16+J16</x:f>
        <x:v>9</x:v>
      </x:c>
      <x:c r="R16" s="38" t="n">
        <x:f>I16+J16+K16+L16</x:f>
        <x:v>15</x:v>
      </x:c>
      <x:c r="S16" s="38" t="n">
        <x:f>I16+J16+2*(K16+L16)</x:f>
        <x:v>21</x:v>
      </x:c>
      <x:c r="T16" s="43" t="str">
        <x:f>IF(K16+L16&gt;0,"是","否")</x:f>
        <x:v>是</x:v>
      </x:c>
    </x:row>
    <x:row r="17">
      <x:c r="A17" s="42" t="str">
        <x:v>C_HENGGUANGZHANG_R7</x:v>
      </x:c>
      <x:c r="B17" s="38" t="str">
        <x:v>六转后主线</x:v>
      </x:c>
      <x:c r="C17" s="38" t="str">
        <x:v>恒光仙蛊</x:v>
      </x:c>
      <x:c r="D17" s="38" t="n">
        <x:v>7</x:v>
      </x:c>
      <x:c r="E17" s="38" t="str">
        <x:v>恒光障</x:v>
      </x:c>
      <x:c r="F17" s="38" t="str">
        <x:v>技能</x:v>
      </x:c>
      <x:c r="G17" s="38" t="n">
        <x:v>1</x:v>
      </x:c>
      <x:c r="H17" s="38" t="n">
        <x:v>1</x:v>
      </x:c>
      <x:c r="I17" s="38" t="n">
        <x:v>0</x:v>
      </x:c>
      <x:c r="J17" s="38" t="n">
        <x:v>9</x:v>
      </x:c>
      <x:c r="K17" s="38" t="n">
        <x:v>0</x:v>
      </x:c>
      <x:c r="L17" s="38" t="n">
        <x:v>6</x:v>
      </x:c>
      <x:c r="M17" s="38" t="str">
        <x:v>—</x:v>
      </x:c>
      <x:c r="N17" s="38" t="str">
        <x:v>恒照：本场2次；若折光因聚光重复，结算后获得1聚光并使下一张有折光段的牌强制折光</x:v>
      </x:c>
      <x:c r="O17" s="38" t="n">
        <x:v>2</x:v>
      </x:c>
      <x:c r="P17" s="38" t="str">
        <x:v>与恒光刃组成仙级连续折光动作组</x:v>
      </x:c>
      <x:c r="Q17" s="38" t="n">
        <x:f>I17+J17</x:f>
        <x:v>9</x:v>
      </x:c>
      <x:c r="R17" s="38" t="n">
        <x:f>I17+J17+K17+L17</x:f>
        <x:v>15</x:v>
      </x:c>
      <x:c r="S17" s="38" t="n">
        <x:f>I17+J17+2*(K17+L17)</x:f>
        <x:v>21</x:v>
      </x:c>
      <x:c r="T17" s="43" t="str">
        <x:f>IF(K17+L17&gt;0,"是","否")</x:f>
        <x:v>是</x:v>
      </x:c>
    </x:row>
    <x:row r="18">
      <x:c r="A18" s="42" t="str">
        <x:v>C_HENGGUANGREN_R8</x:v>
      </x:c>
      <x:c r="B18" s="38" t="str">
        <x:v>六转后主线</x:v>
      </x:c>
      <x:c r="C18" s="38" t="str">
        <x:v>恒光仙蛊</x:v>
      </x:c>
      <x:c r="D18" s="38" t="n">
        <x:v>8</x:v>
      </x:c>
      <x:c r="E18" s="38" t="str">
        <x:v>恒光刃</x:v>
      </x:c>
      <x:c r="F18" s="38" t="str">
        <x:v>攻击</x:v>
      </x:c>
      <x:c r="G18" s="38" t="n">
        <x:v>1</x:v>
      </x:c>
      <x:c r="H18" s="38" t="n">
        <x:v>1</x:v>
      </x:c>
      <x:c r="I18" s="38" t="n">
        <x:v>10</x:v>
      </x:c>
      <x:c r="J18" s="38" t="n">
        <x:v>0</x:v>
      </x:c>
      <x:c r="K18" s="38" t="n">
        <x:v>7</x:v>
      </x:c>
      <x:c r="L18" s="38" t="n">
        <x:v>0</x:v>
      </x:c>
      <x:c r="M18" s="38" t="str">
        <x:v>—</x:v>
      </x:c>
      <x:c r="N18" s="38" t="str">
        <x:v>恒照：本场3次；若折光因聚光重复，结算后获得1聚光并使下一张有折光段的牌强制折光</x:v>
      </x:c>
      <x:c r="O18" s="38" t="n">
        <x:v>3</x:v>
      </x:c>
      <x:c r="P18" s="38" t="str">
        <x:v>恒光负责把“重复机会”传给后续动作</x:v>
      </x:c>
      <x:c r="Q18" s="38" t="n">
        <x:f>I18+J18</x:f>
        <x:v>10</x:v>
      </x:c>
      <x:c r="R18" s="38" t="n">
        <x:f>I18+J18+K18+L18</x:f>
        <x:v>17</x:v>
      </x:c>
      <x:c r="S18" s="38" t="n">
        <x:f>I18+J18+2*(K18+L18)</x:f>
        <x:v>24</x:v>
      </x:c>
      <x:c r="T18" s="43" t="str">
        <x:f>IF(K18+L18&gt;0,"是","否")</x:f>
        <x:v>是</x:v>
      </x:c>
    </x:row>
    <x:row r="19">
      <x:c r="A19" s="42" t="str">
        <x:v>C_HENGGUANGZHANG_R8</x:v>
      </x:c>
      <x:c r="B19" s="38" t="str">
        <x:v>六转后主线</x:v>
      </x:c>
      <x:c r="C19" s="38" t="str">
        <x:v>恒光仙蛊</x:v>
      </x:c>
      <x:c r="D19" s="38" t="n">
        <x:v>8</x:v>
      </x:c>
      <x:c r="E19" s="38" t="str">
        <x:v>恒光障</x:v>
      </x:c>
      <x:c r="F19" s="38" t="str">
        <x:v>技能</x:v>
      </x:c>
      <x:c r="G19" s="38" t="n">
        <x:v>1</x:v>
      </x:c>
      <x:c r="H19" s="38" t="n">
        <x:v>1</x:v>
      </x:c>
      <x:c r="I19" s="38" t="n">
        <x:v>0</x:v>
      </x:c>
      <x:c r="J19" s="38" t="n">
        <x:v>10</x:v>
      </x:c>
      <x:c r="K19" s="38" t="n">
        <x:v>0</x:v>
      </x:c>
      <x:c r="L19" s="38" t="n">
        <x:v>7</x:v>
      </x:c>
      <x:c r="M19" s="38" t="str">
        <x:v>—</x:v>
      </x:c>
      <x:c r="N19" s="38" t="str">
        <x:v>恒照：本场3次；若折光因聚光重复，结算后获得1聚光并使下一张有折光段的牌强制折光</x:v>
      </x:c>
      <x:c r="O19" s="38" t="n">
        <x:v>3</x:v>
      </x:c>
      <x:c r="P19" s="38" t="str">
        <x:v>与恒光刃组成仙级连续折光动作组</x:v>
      </x:c>
      <x:c r="Q19" s="38" t="n">
        <x:f>I19+J19</x:f>
        <x:v>10</x:v>
      </x:c>
      <x:c r="R19" s="38" t="n">
        <x:f>I19+J19+K19+L19</x:f>
        <x:v>17</x:v>
      </x:c>
      <x:c r="S19" s="38" t="n">
        <x:f>I19+J19+2*(K19+L19)</x:f>
        <x:v>24</x:v>
      </x:c>
      <x:c r="T19" s="43" t="str">
        <x:f>IF(K19+L19&gt;0,"是","否")</x:f>
        <x:v>是</x:v>
      </x:c>
    </x:row>
    <x:row r="20">
      <x:c r="A20" s="42" t="str">
        <x:v>C_GUANGYAO_R9</x:v>
      </x:c>
      <x:c r="B20" s="38" t="str">
        <x:v>六转后主线</x:v>
      </x:c>
      <x:c r="C20" s="38" t="str">
        <x:v>光蛊</x:v>
      </x:c>
      <x:c r="D20" s="38" t="n">
        <x:v>9</x:v>
      </x:c>
      <x:c r="E20" s="38" t="str">
        <x:v>光耀</x:v>
      </x:c>
      <x:c r="F20" s="38" t="str">
        <x:v>攻击</x:v>
      </x:c>
      <x:c r="G20" s="38" t="n">
        <x:v>1</x:v>
      </x:c>
      <x:c r="H20" s="38" t="n">
        <x:v>1</x:v>
      </x:c>
      <x:c r="I20" s="38" t="n">
        <x:v>9</x:v>
      </x:c>
      <x:c r="J20" s="38" t="n">
        <x:v>0</x:v>
      </x:c>
      <x:c r="K20" s="38" t="n">
    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无额外伴生强化；光蛊催动直接使本回合折光条件自动满足</x:v>
      </x:c>
      <x:c r="O20" s="38" t="str">
        <x:v>—</x:v>
      </x:c>
      <x:c r="P20" s="38" t="str">
        <x:v>聚光重复后返还1层，九转可维持高强度链</x:v>
      </x:c>
      <x:c r="Q20" s="38" t="n">
        <x:f>I20+J20</x:f>
        <x:v>9</x:v>
      </x:c>
      <x:c r="R20" s="38" t="n">
        <x:f>I20+J20+K20+L20</x:f>
        <x:v>16</x:v>
      </x:c>
      <x:c r="S20" s="38" t="n">
        <x:f>I20+J20+2*(K20+L20)</x:f>
        <x:v>23</x:v>
      </x:c>
      <x:c r="T20" s="43" t="str">
        <x:f>IF(K20+L20&gt;0,"是","否")</x:f>
        <x:v>是</x:v>
      </x:c>
    </x:row>
    <x:row r="21">
      <x:c r="A21" s="42" t="str">
        <x:v>C_GUANGJIE_R9</x:v>
      </x:c>
      <x:c r="B21" s="38" t="str">
        <x:v>六转后主线</x:v>
      </x:c>
      <x:c r="C21" s="38" t="str">
        <x:v>光蛊</x:v>
      </x:c>
      <x:c r="D21" s="38" t="n">
        <x:v>9</x:v>
      </x:c>
      <x:c r="E21" s="38" t="str">
        <x:v>光界</x:v>
      </x:c>
      <x:c r="F21" s="38" t="str">
        <x:v>技能</x:v>
      </x:c>
      <x:c r="G21" s="38" t="n">
        <x:v>1</x:v>
      </x:c>
      <x:c r="H21" s="38" t="n">
        <x:v>1</x:v>
      </x:c>
      <x:c r="I21" s="38" t="n">
        <x:v>0</x:v>
      </x:c>
      <x:c r="J21" s="38" t="n">
        <x:v>9</x:v>
      </x:c>
      <x:c r="K21" s="38" t="n">
        <x:v>0</x:v>
      </x:c>
      <x:c r="L21" s="38" t="n">
        <x:v>7</x:v>
      </x:c>
      <x:c r="M21" s="38" t="str">
        <x:v>若本次折光因聚光重复，重复结算后使下一张有折光段的牌强制折光</x:v>
      </x:c>
      <x:c r="N21" s="38" t="str">
        <x:v>无额外伴生强化；光蛊催动直接使本回合折光条件自动满足</x:v>
      </x:c>
      <x:c r="O21" s="38" t="str">
        <x:v>—</x:v>
      </x:c>
      <x:c r="P21" s="38" t="str">
        <x:v>九转防御侧接续牌</x:v>
      </x:c>
      <x:c r="Q21" s="38" t="n">
        <x:f>I21+J21</x:f>
        <x:v>9</x:v>
      </x:c>
      <x:c r="R21" s="38" t="n">
        <x:f>I21+J21+K21+L21</x:f>
        <x:v>16</x:v>
      </x:c>
      <x:c r="S21" s="38" t="n">
        <x:f>I21+J21+2*(K21+L21)</x:f>
        <x:v>23</x:v>
      </x:c>
      <x:c r="T21" s="43" t="str">
        <x:f>IF(K21+L21&gt;0,"是","否")</x:f>
        <x:v>是</x:v>
      </x:c>
    </x:row>
    <x:row r="22">
      <x:c r="A22" s="42" t="str">
        <x:v>C_CHIGUANG_R1</x:v>
      </x:c>
      <x:c r="B22" s="38" t="str">
        <x:v>光道奖励池</x:v>
      </x:c>
      <x:c r="C22" s="38" t="str">
        <x:v>红光蛊</x:v>
      </x:c>
      <x:c r="D22" s="38" t="n">
        <x:v>1</x:v>
      </x:c>
      <x:c r="E22" s="38" t="str">
        <x:v>赤光</x:v>
      </x:c>
      <x:c r="F22" s="38" t="str">
        <x:v>攻击</x:v>
      </x:c>
      <x:c r="G22" s="38" t="n">
        <x:v>2</x:v>
      </x:c>
      <x:c r="H22" s="38" t="n">
        <x:v>1</x:v>
      </x:c>
      <x:c r="I22" s="38" t="n">
        <x:v>5</x:v>
      </x:c>
      <x:c r="J22" s="38" t="n">
        <x:v>0</x:v>
      </x:c>
      <x:c r="K22" s="38" t="n">
        <x:v>2</x:v>
      </x:c>
      <x:c r="L22" s="38" t="n">
        <x:v>0</x:v>
      </x:c>
      <x:c r="M22" s="38" t="str">
        <x:v>—</x:v>
      </x:c>
      <x:c r="N22" s="38" t="str">
        <x:v>炽照：本场1次，折光伤害额外+1</x:v>
      </x:c>
      <x:c r="O22" s="38" t="n">
        <x:v>1</x:v>
      </x:c>
      <x:c r="P22" s="38" t="str">
        <x:v>可被聚光重复，适合长期攻击密度</x:v>
      </x:c>
      <x:c r="Q22" s="38" t="n">
        <x:f>I22+J22</x:f>
        <x:v>5</x:v>
      </x:c>
      <x:c r="R22" s="38" t="n">
        <x:f>I22+J22+K22+L22</x:f>
        <x:v>7</x:v>
      </x:c>
      <x:c r="S22" s="38" t="n">
        <x:f>I22+J22+2*(K22+L22)</x:f>
        <x:v>9</x:v>
      </x:c>
      <x:c r="T22" s="43" t="str">
        <x:f>IF(K22+L22&gt;0,"是","否")</x:f>
        <x:v>是</x:v>
      </x:c>
    </x:row>
    <x:row r="23">
      <x:c r="A23" s="42" t="str">
        <x:v>C_CHIGUANG_R2</x:v>
      </x:c>
      <x:c r="B23" s="38" t="str">
        <x:v>光道奖励池</x:v>
      </x:c>
      <x:c r="C23" s="38" t="str">
        <x:v>红光蛊</x:v>
      </x:c>
      <x:c r="D23" s="38" t="n">
        <x:v>2</x:v>
      </x:c>
      <x:c r="E23" s="38" t="str">
        <x:v>赤光</x:v>
      </x:c>
      <x:c r="F23" s="38" t="str">
        <x:v>攻击</x:v>
      </x:c>
      <x:c r="G23" s="38" t="n">
        <x:v>2</x:v>
      </x:c>
      <x:c r="H23" s="38" t="n">
        <x:v>1</x:v>
      </x:c>
      <x:c r="I23" s="38" t="n">
        <x:v>5</x:v>
      </x:c>
      <x:c r="J23" s="38" t="n">
        <x:v>0</x:v>
      </x:c>
      <x:c r="K23" s="38" t="n">
        <x:v>2</x:v>
      </x:c>
      <x:c r="L23" s="38" t="n">
        <x:v>0</x:v>
      </x:c>
      <x:c r="M23" s="38" t="str">
        <x:v>—</x:v>
      </x:c>
      <x:c r="N23" s="38" t="str">
        <x:v>炽照：本场1次，折光伤害额外+2</x:v>
      </x:c>
      <x:c r="O23" s="38" t="n">
        <x:v>1</x:v>
      </x:c>
      <x:c r="P23" s="38" t="str">
        <x:v>可被聚光重复，适合长期攻击密度</x:v>
      </x:c>
      <x:c r="Q23" s="38" t="n">
        <x:f>I23+J23</x:f>
        <x:v>5</x:v>
      </x:c>
      <x:c r="R23" s="38" t="n">
        <x:f>I23+J23+K23+L23</x:f>
        <x:v>7</x:v>
      </x:c>
      <x:c r="S23" s="38" t="n">
        <x:f>I23+J23+2*(K23+L23)</x:f>
        <x:v>9</x:v>
      </x:c>
      <x:c r="T23" s="43" t="str">
        <x:f>IF(K23+L23&gt;0,"是","否")</x:f>
        <x:v>是</x:v>
      </x:c>
    </x:row>
    <x:row r="24">
      <x:c r="A24" s="42" t="str">
        <x:v>C_CHIGUANG_R3</x:v>
      </x:c>
      <x:c r="B24" s="38" t="str">
        <x:v>光道奖励池</x:v>
      </x:c>
      <x:c r="C24" s="38" t="str">
        <x:v>红光蛊</x:v>
      </x:c>
      <x:c r="D24" s="38" t="n">
        <x:v>3</x:v>
      </x:c>
      <x:c r="E24" s="38" t="str">
        <x:v>赤光</x:v>
      </x:c>
      <x:c r="F24" s="38" t="str">
        <x:v>攻击</x:v>
      </x:c>
      <x:c r="G24" s="38" t="n">
        <x:v>2</x:v>
      </x:c>
      <x:c r="H24" s="38" t="n">
        <x:v>1</x:v>
      </x:c>
      <x:c r="I24" s="38" t="n">
        <x:v>5</x:v>
      </x:c>
      <x:c r="J24" s="38" t="n">
        <x:v>0</x:v>
      </x:c>
      <x:c r="K24" s="38" t="n">
        <x:v>2</x:v>
      </x:c>
      <x:c r="L24" s="38" t="n">
        <x:v>0</x:v>
      </x:c>
      <x:c r="M24" s="38" t="str">
        <x:v>—</x:v>
      </x:c>
      <x:c r="N24" s="38" t="str">
        <x:v>炽照：本场1次，折光伤害额外+3</x:v>
      </x:c>
      <x:c r="O24" s="38" t="n">
        <x:v>1</x:v>
      </x:c>
      <x:c r="P24" s="38" t="str">
        <x:v>可被聚光重复，适合长期攻击密度</x:v>
      </x:c>
      <x:c r="Q24" s="38" t="n">
        <x:f>I24+J24</x:f>
        <x:v>5</x:v>
      </x:c>
      <x:c r="R24" s="38" t="n">
        <x:f>I24+J24+K24+L24</x:f>
        <x:v>7</x:v>
      </x:c>
      <x:c r="S24" s="38" t="n">
        <x:f>I24+J24+2*(K24+L24)</x:f>
        <x:v>9</x:v>
      </x:c>
      <x:c r="T24" s="43" t="str">
        <x:f>IF(K24+L24&gt;0,"是","否")</x:f>
        <x:v>是</x:v>
      </x:c>
    </x:row>
    <x:row r="25">
      <x:c r="A25" s="42" t="str">
        <x:v>C_FANGUANGBI_R1</x:v>
      </x:c>
      <x:c r="B25" s="38" t="str">
        <x:v>光道奖励池</x:v>
      </x:c>
      <x:c r="C25" s="38" t="str">
        <x:v>反光蛊</x:v>
      </x:c>
      <x:c r="D25" s="38" t="n">
        <x:v>1</x:v>
      </x:c>
      <x:c r="E25" s="38" t="str">
        <x:v>反光壁</x:v>
      </x:c>
      <x:c r="F25" s="38" t="str">
        <x:v>技能</x:v>
      </x:c>
      <x:c r="G25" s="38" t="n">
        <x:v>2</x:v>
      </x:c>
      <x:c r="H25" s="38" t="n">
        <x:v>1</x:v>
      </x:c>
      <x:c r="I25" s="38" t="n">
        <x:v>0</x:v>
      </x:c>
      <x:c r="J25" s="38" t="n">
        <x:v>5</x:v>
      </x:c>
      <x:c r="K25" s="38" t="n">
        <x:v>0</x:v>
      </x:c>
      <x:c r="L25" s="38" t="n">
        <x:v>3</x:v>
      </x:c>
      <x:c r="M25" s="38" t="str">
        <x:v>—</x:v>
      </x:c>
      <x:c r="N25" s="38" t="str">
        <x:v>返照：本场1次，折光格挡额外+1</x:v>
      </x:c>
      <x:c r="O25" s="38" t="n">
        <x:v>1</x:v>
      </x:c>
      <x:c r="P25" s="38" t="str">
        <x:v>可被聚光重复，适合长期防御密度</x:v>
      </x:c>
      <x:c r="Q25" s="38" t="n">
        <x:f>I25+J25</x:f>
        <x:v>5</x:v>
      </x:c>
      <x:c r="R25" s="38" t="n">
        <x:f>I25+J25+K25+L25</x:f>
        <x:v>8</x:v>
      </x:c>
      <x:c r="S25" s="38" t="n">
        <x:f>I25+J25+2*(K25+L25)</x:f>
        <x:v>11</x:v>
      </x:c>
      <x:c r="T25" s="43" t="str">
        <x:f>IF(K25+L25&gt;0,"是","否")</x:f>
        <x:v>是</x:v>
      </x:c>
    </x:row>
    <x:row r="26">
      <x:c r="A26" s="42" t="str">
        <x:v>C_FANGUANGBI_R2</x:v>
      </x:c>
      <x:c r="B26" s="38" t="str">
        <x:v>光道奖励池</x:v>
      </x:c>
      <x:c r="C26" s="38" t="str">
        <x:v>反光蛊</x:v>
      </x:c>
      <x:c r="D26" s="38" t="n">
        <x:v>2</x:v>
      </x:c>
      <x:c r="E26" s="38" t="str">
        <x:v>反光壁</x:v>
      </x:c>
      <x:c r="F26" s="38" t="str">
        <x:v>技能</x:v>
      </x:c>
      <x:c r="G26" s="38" t="n">
        <x:v>2</x:v>
      </x:c>
      <x:c r="H26" s="38" t="n">
        <x:v>1</x:v>
      </x:c>
      <x:c r="I26" s="38" t="n">
        <x:v>0</x:v>
      </x:c>
      <x:c r="J26" s="38" t="n">
        <x:v>5</x:v>
      </x:c>
      <x:c r="K26" s="38" t="n">
        <x:v>0</x:v>
      </x:c>
      <x:c r="L26" s="38" t="n">
        <x:v>3</x:v>
      </x:c>
      <x:c r="M26" s="38" t="str">
        <x:v>—</x:v>
      </x:c>
      <x:c r="N26" s="38" t="str">
        <x:v>返照：本场1次，折光格挡额外+2</x:v>
      </x:c>
      <x:c r="O26" s="38" t="n">
        <x:v>1</x:v>
      </x:c>
      <x:c r="P26" s="38" t="str">
        <x:v>可被聚光重复，适合长期防御密度</x:v>
      </x:c>
      <x:c r="Q26" s="38" t="n">
        <x:f>I26+J26</x:f>
        <x:v>5</x:v>
      </x:c>
      <x:c r="R26" s="38" t="n">
        <x:f>I26+J26+K26+L26</x:f>
        <x:v>8</x:v>
      </x:c>
      <x:c r="S26" s="38" t="n">
        <x:f>I26+J26+2*(K26+L26)</x:f>
        <x:v>11</x:v>
      </x:c>
      <x:c r="T26" s="43" t="str">
        <x:f>IF(K26+L26&gt;0,"是","否")</x:f>
        <x:v>是</x:v>
      </x:c>
    </x:row>
    <x:row r="27">
      <x:c r="A27" s="42" t="str">
        <x:v>C_FANGUANGBI_R3</x:v>
      </x:c>
      <x:c r="B27" s="38" t="str">
        <x:v>光道奖励池</x:v>
      </x:c>
      <x:c r="C27" s="38" t="str">
        <x:v>反光蛊</x:v>
      </x:c>
      <x:c r="D27" s="38" t="n">
        <x:v>3</x:v>
      </x:c>
      <x:c r="E27" s="38" t="str">
        <x:v>反光壁</x:v>
      </x:c>
      <x:c r="F27" s="38" t="str">
        <x:v>技能</x:v>
      </x:c>
      <x:c r="G27" s="38" t="n">
        <x:v>2</x:v>
      </x:c>
      <x:c r="H27" s="38" t="n">
        <x:v>1</x:v>
      </x:c>
      <x:c r="I27" s="38" t="n">
        <x:v>0</x:v>
      </x:c>
      <x:c r="J27" s="38" t="n">
        <x:v>5</x:v>
      </x:c>
      <x:c r="K27" s="38" t="n">
        <x:v>0</x:v>
      </x:c>
      <x:c r="L27" s="38" t="n">
        <x:v>3</x:v>
      </x:c>
      <x:c r="M27" s="38" t="str">
        <x:v>—</x:v>
      </x:c>
      <x:c r="N27" s="38" t="str">
        <x:v>返照：本场1次，折光格挡额外+3</x:v>
      </x:c>
      <x:c r="O27" s="38" t="n">
        <x:v>1</x:v>
      </x:c>
      <x:c r="P27" s="38" t="str">
        <x:v>可被聚光重复，适合长期防御密度</x:v>
      </x:c>
      <x:c r="Q27" s="38" t="n">
        <x:f>I27+J27</x:f>
        <x:v>5</x:v>
      </x:c>
      <x:c r="R27" s="38" t="n">
        <x:f>I27+J27+K27+L27</x:f>
        <x:v>8</x:v>
      </x:c>
      <x:c r="S27" s="38" t="n">
        <x:f>I27+J27+2*(K27+L27)</x:f>
        <x:v>11</x:v>
      </x:c>
      <x:c r="T27" s="43" t="str">
        <x:f>IF(K27+L27&gt;0,"是","否")</x:f>
        <x:v>是</x:v>
      </x:c>
    </x:row>
    <x:row r="28">
      <x:c r="A28" s="42" t="str">
        <x:v>C_HUIZHAO_R2</x:v>
      </x:c>
      <x:c r="B28" s="38" t="str">
        <x:v>光道奖励池</x:v>
      </x:c>
      <x:c r="C28" s="38" t="str">
        <x:v>回光蛊</x:v>
      </x:c>
      <x:c r="D28" s="38" t="n">
        <x:v>2</x:v>
      </x:c>
      <x:c r="E28" s="38" t="str">
        <x:v>回照</x:v>
      </x:c>
      <x:c r="F28" s="38" t="str">
        <x:v>技能</x:v>
      </x:c>
      <x:c r="G28" s="38" t="n">
        <x:v>1</x:v>
      </x:c>
      <x:c r="H28" s="38" t="n">
        <x:v>1</x:v>
      </x:c>
      <x:c r="I28" s="38" t="n">
        <x:v>0</x:v>
      </x:c>
      <x:c r="J28" s="38" t="n">
        <x:v>3</x:v>
      </x:c>
      <x:c r="K28" s="38" t="n">
        <x:v>0</x:v>
      </x:c>
      <x:c r="L28" s="38" t="n">
        <x:v>0</x:v>
      </x:c>
      <x:c r="M28" s="38" t="str">
        <x:v>折光：将本回合最近打出的一张攻击伴生牌从弃牌堆返回手牌</x:v>
      </x:c>
      <x:c r="N28" s="38" t="str">
        <x:v>本场前1次：返回牌费用-1</x:v>
      </x:c>
      <x:c r="O28" s="38" t="n">
        <x:v>1</x:v>
      </x:c>
      <x:c r="P28" s="38" t="str">
        <x:v>纯功能折光，不消耗聚光</x:v>
      </x:c>
      <x:c r="Q28" s="38" t="n">
        <x:f>I28+J28</x:f>
        <x:v>3</x:v>
      </x:c>
      <x:c r="R28" s="38" t="n">
        <x:f>I28+J28+K28+L28</x:f>
        <x:v>3</x:v>
      </x:c>
      <x:c r="S28" s="38" t="n">
        <x:f>I28+J28+2*(K28+L28)</x:f>
        <x:v>3</x:v>
      </x:c>
      <x:c r="T28" s="43" t="str">
        <x:f>IF(K28+L28&gt;0,"是","否")</x:f>
        <x:v>否</x:v>
      </x:c>
    </x:row>
    <x:row r="29">
      <x:c r="A29" s="42" t="str">
        <x:v>C_HUIZHAO_R3</x:v>
      </x:c>
      <x:c r="B29" s="38" t="str">
        <x:v>光道奖励池</x:v>
      </x:c>
      <x:c r="C29" s="38" t="str">
        <x:v>回光蛊</x:v>
      </x:c>
      <x:c r="D29" s="38" t="n">
        <x:v>3</x:v>
      </x:c>
      <x:c r="E29" s="38" t="str">
        <x:v>回照</x:v>
      </x:c>
      <x:c r="F29" s="38" t="str">
        <x:v>技能</x:v>
      </x:c>
      <x:c r="G29" s="38" t="n">
        <x:v>1</x:v>
      </x:c>
      <x:c r="H29" s="38" t="n">
        <x:v>1</x:v>
      </x:c>
      <x:c r="I29" s="38" t="n">
        <x:v>0</x:v>
      </x:c>
      <x:c r="J29" s="38" t="n">
        <x:v>3</x:v>
      </x:c>
      <x:c r="K29" s="38" t="n">
        <x:v>0</x:v>
      </x:c>
      <x:c r="L29" s="38" t="n">
        <x:v>0</x:v>
      </x:c>
      <x:c r="M29" s="38" t="str">
        <x:v>折光：将本回合最近打出的一张攻击伴生牌从弃牌堆返回手牌</x:v>
      </x:c>
      <x:c r="N29" s="38" t="str">
        <x:v>本场前2次：返回牌费用-1</x:v>
      </x:c>
      <x:c r="O29" s="38" t="n">
        <x:v>2</x:v>
      </x:c>
      <x:c r="P29" s="38" t="str">
        <x:v>纯功能折光，不消耗聚光</x:v>
      </x:c>
      <x:c r="Q29" s="38" t="n">
        <x:f>I29+J29</x:f>
        <x:v>3</x:v>
      </x:c>
      <x:c r="R29" s="38" t="n">
        <x:f>I29+J29+K29+L29</x:f>
        <x:v>3</x:v>
      </x:c>
      <x:c r="S29" s="38" t="n">
        <x:f>I29+J29+2*(K29+L29)</x:f>
        <x:v>3</x:v>
      </x:c>
      <x:c r="T29" s="43" t="str">
        <x:f>IF(K29+L29&gt;0,"是","否")</x:f>
        <x:v>否</x:v>
      </x:c>
    </x:row>
    <x:row r="30">
      <x:c r="A30" s="42" t="str">
        <x:v>C_HUIZHAO_R4</x:v>
      </x:c>
      <x:c r="B30" s="38" t="str">
        <x:v>光道奖励池</x:v>
      </x:c>
      <x:c r="C30" s="38" t="str">
        <x:v>回光蛊</x:v>
      </x:c>
      <x:c r="D30" s="38" t="n">
        <x:v>4</x:v>
      </x:c>
      <x:c r="E30" s="38" t="str">
        <x:v>回照</x:v>
      </x:c>
      <x:c r="F30" s="38" t="str">
        <x:v>技能</x:v>
      </x:c>
      <x:c r="G30" s="38" t="n">
        <x:v>1</x:v>
      </x:c>
      <x:c r="H30" s="38" t="n">
        <x:v>1</x:v>
      </x:c>
      <x:c r="I30" s="38" t="n">
        <x:v>0</x:v>
      </x:c>
      <x:c r="J30" s="38" t="n">
        <x:v>3</x:v>
      </x:c>
      <x:c r="K30" s="38" t="n">
        <x:v>0</x:v>
      </x:c>
      <x:c r="L30" s="38" t="n">
        <x:v>0</x:v>
      </x:c>
      <x:c r="M30" s="38" t="str">
        <x:v>折光：将本回合最近打出的一张攻击伴生牌从弃牌堆返回手牌</x:v>
      </x:c>
      <x:c r="N30" s="38" t="str">
        <x:v>本场前2次：返回牌费用变为0</x:v>
      </x:c>
      <x:c r="O30" s="38" t="n">
        <x:v>2</x:v>
      </x:c>
      <x:c r="P30" s="38" t="str">
        <x:v>纯功能折光，不消耗聚光</x:v>
      </x:c>
      <x:c r="Q30" s="38" t="n">
        <x:f>I30+J30</x:f>
        <x:v>3</x:v>
      </x:c>
      <x:c r="R30" s="38" t="n">
        <x:f>I30+J30+K30+L30</x:f>
        <x:v>3</x:v>
      </x:c>
      <x:c r="S30" s="38" t="n">
        <x:f>I30+J30+2*(K30+L30)</x:f>
        <x:v>3</x:v>
      </x:c>
      <x:c r="T30" s="43" t="str">
        <x:f>IF(K30+L30&gt;0,"是","否")</x:f>
        <x:v>否</x:v>
      </x:c>
    </x:row>
    <x:row r="31">
      <x:c r="A31" s="42" t="str">
        <x:v>C_XUANGUANGREN_R4</x:v>
      </x:c>
      <x:c r="B31" s="38" t="str">
        <x:v>光道奖励池</x:v>
      </x:c>
      <x:c r="C31" s="38" t="str">
        <x:v>璇光蛊</x:v>
      </x:c>
      <x:c r="D31" s="38" t="n">
        <x:v>4</x:v>
      </x:c>
      <x:c r="E31" s="38" t="str">
        <x:v>璇光刃</x:v>
      </x:c>
      <x:c r="F31" s="38" t="str">
        <x:v>攻击</x:v>
      </x:c>
      <x:c r="G31" s="38" t="n">
        <x:v>1</x:v>
      </x:c>
      <x:c r="H31" s="38" t="n">
        <x:v>1</x:v>
      </x:c>
      <x:c r="I31" s="38" t="n">
        <x:v>6</x:v>
      </x:c>
      <x:c r="J31" s="38" t="n">
        <x:v>0</x:v>
      </x:c>
      <x:c r="K31" s="38" t="n">
        <x:v>0</x:v>
      </x:c>
      <x:c r="L31" s="38" t="n">
        <x:v>0</x:v>
      </x:c>
      <x:c r="M31" s="38" t="str">
        <x:v>折光：抽1张牌</x:v>
      </x:c>
      <x:c r="N31" s="38" t="str">
        <x:v>璇照：本场1次，折光后额外获得1聚光</x:v>
      </x:c>
      <x:c r="O31" s="38" t="n">
        <x:v>1</x:v>
      </x:c>
      <x:c r="P31" s="38" t="str">
        <x:v>纯功能折光；抽牌不被重复</x:v>
      </x:c>
      <x:c r="Q31" s="38" t="n">
        <x:f>I31+J31</x:f>
        <x:v>6</x:v>
      </x:c>
      <x:c r="R31" s="38" t="n">
        <x:f>I31+J31+K31+L31</x:f>
        <x:v>6</x:v>
      </x:c>
      <x:c r="S31" s="38" t="n">
        <x:f>I31+J31+2*(K31+L31)</x:f>
        <x:v>6</x:v>
      </x:c>
      <x:c r="T31" s="43" t="str">
        <x:f>IF(K31+L31&gt;0,"是","否")</x:f>
        <x:v>否</x:v>
      </x:c>
    </x:row>
    <x:row r="32">
      <x:c r="A32" s="42" t="str">
        <x:v>C_XUANGUANGMU2_R4</x:v>
      </x:c>
      <x:c r="B32" s="38" t="str">
        <x:v>光道奖励池</x:v>
      </x:c>
      <x:c r="C32" s="38" t="str">
        <x:v>璇光蛊</x:v>
      </x:c>
      <x:c r="D32" s="38" t="n">
        <x:v>4</x:v>
      </x:c>
      <x:c r="E32" s="38" t="str">
        <x:v>璇光幕</x:v>
      </x:c>
      <x:c r="F32" s="38" t="str">
        <x:v>技能</x:v>
      </x:c>
      <x:c r="G32" s="38" t="n">
        <x:v>1</x:v>
      </x:c>
      <x:c r="H32" s="38" t="n">
        <x:v>1</x:v>
      </x:c>
      <x:c r="I32" s="38" t="n">
        <x:v>0</x:v>
      </x:c>
      <x:c r="J32" s="38" t="n">
        <x:v>6</x:v>
      </x:c>
      <x:c r="K32" s="38" t="n">
        <x:v>0</x:v>
      </x:c>
      <x:c r="L32" s="38" t="n">
        <x:v>0</x:v>
      </x:c>
      <x:c r="M32" s="38" t="str">
        <x:v>折光：抽1张牌</x:v>
      </x:c>
      <x:c r="N32" s="38" t="str">
        <x:v>璇照：本场1次，折光后额外获得1聚光</x:v>
      </x:c>
      <x:c r="O32" s="38" t="n">
        <x:v>1</x:v>
      </x:c>
      <x:c r="P32" s="38" t="str">
        <x:v>与璇光刃形成攻技自循环</x:v>
      </x:c>
      <x:c r="Q32" s="38" t="n">
        <x:f>I32+J32</x:f>
        <x:v>6</x:v>
      </x:c>
      <x:c r="R32" s="38" t="n">
        <x:f>I32+J32+K32+L32</x:f>
        <x:v>6</x:v>
      </x:c>
      <x:c r="S32" s="38" t="n">
        <x:f>I32+J32+2*(K32+L32)</x:f>
        <x:v>6</x:v>
      </x:c>
      <x:c r="T32" s="43" t="str">
        <x:f>IF(K32+L32&gt;0,"是","否")</x:f>
        <x:v>否</x:v>
      </x:c>
    </x:row>
    <x:row r="33">
      <x:c r="A33" s="42" t="str">
        <x:v>C_XUANGUANGREN_R5</x:v>
      </x:c>
      <x:c r="B33" s="38" t="str">
        <x:v>光道奖励池</x:v>
      </x:c>
      <x:c r="C33" s="38" t="str">
        <x:v>璇光蛊</x:v>
      </x:c>
      <x:c r="D33" s="38" t="n">
        <x:v>5</x:v>
      </x:c>
      <x:c r="E33" s="38" t="str">
        <x:v>璇光刃</x:v>
      </x:c>
      <x:c r="F33" s="38" t="str">
        <x:v>攻击</x:v>
      </x:c>
      <x:c r="G33" s="38" t="n">
        <x:v>1</x:v>
      </x:c>
      <x:c r="H33" s="38" t="n">
        <x:v>1</x:v>
      </x:c>
      <x:c r="I33" s="38" t="n">
        <x:v>7</x:v>
      </x:c>
      <x:c r="J33" s="38" t="n">
        <x:v>0</x:v>
      </x:c>
      <x:c r="K33" s="38" t="n">
        <x:v>0</x:v>
      </x:c>
      <x:c r="L33" s="38" t="n">
        <x:v>0</x:v>
      </x:c>
      <x:c r="M33" s="38" t="str">
        <x:v>折光：抽1张牌</x:v>
      </x:c>
      <x:c r="N33" s="38" t="str">
        <x:v>璇照：本场1次，折光后额外获得1聚光</x:v>
      </x:c>
      <x:c r="O33" s="38" t="n">
        <x:v>1</x:v>
      </x:c>
      <x:c r="P33" s="38" t="str">
        <x:v>纯功能折光；抽牌不被重复</x:v>
      </x:c>
      <x:c r="Q33" s="38" t="n">
        <x:f>I33+J33</x:f>
        <x:v>7</x:v>
      </x:c>
      <x:c r="R33" s="38" t="n">
        <x:f>I33+J33+K33+L33</x:f>
        <x:v>7</x:v>
      </x:c>
      <x:c r="S33" s="38" t="n">
        <x:f>I33+J33+2*(K33+L33)</x:f>
        <x:v>7</x:v>
      </x:c>
      <x:c r="T33" s="43" t="str">
        <x:f>IF(K33+L33&gt;0,"是","否")</x:f>
        <x:v>否</x:v>
      </x:c>
    </x:row>
    <x:row r="34">
      <x:c r="A34" s="42" t="str">
        <x:v>C_XUANGUANGMU2_R5</x:v>
      </x:c>
      <x:c r="B34" s="38" t="str">
        <x:v>光道奖励池</x:v>
      </x:c>
      <x:c r="C34" s="38" t="str">
        <x:v>璇光蛊</x:v>
      </x:c>
      <x:c r="D34" s="38" t="n">
        <x:v>5</x:v>
      </x:c>
      <x:c r="E34" s="38" t="str">
        <x:v>璇光幕</x:v>
      </x:c>
      <x:c r="F34" s="38" t="str">
        <x:v>技能</x:v>
      </x:c>
      <x:c r="G34" s="38" t="n">
        <x:v>1</x:v>
      </x:c>
      <x:c r="H34" s="38" t="n">
        <x:v>1</x:v>
      </x:c>
      <x:c r="I34" s="38" t="n">
        <x:v>0</x:v>
      </x:c>
      <x:c r="J34" s="38" t="n">
        <x:v>7</x:v>
      </x:c>
      <x:c r="K34" s="38" t="n">
        <x:v>0</x:v>
      </x:c>
      <x:c r="L34" s="38" t="n">
        <x:v>0</x:v>
      </x:c>
      <x:c r="M34" s="38" t="str">
        <x:v>折光：抽1张牌</x:v>
      </x:c>
      <x:c r="N34" s="38" t="str">
        <x:v>璇照：本场1次，折光后额外获得1聚光</x:v>
      </x:c>
      <x:c r="O34" s="38" t="n">
        <x:v>1</x:v>
      </x:c>
      <x:c r="P34" s="38" t="str">
        <x:v>与璇光刃形成攻技自循环</x:v>
      </x:c>
      <x:c r="Q34" s="38" t="n">
        <x:f>I34+J34</x:f>
        <x:v>7</x:v>
      </x:c>
      <x:c r="R34" s="38" t="n">
        <x:f>I34+J34+K34+L34</x:f>
        <x:v>7</x:v>
      </x:c>
      <x:c r="S34" s="38" t="n">
        <x:f>I34+J34+2*(K34+L34)</x:f>
        <x:v>7</x:v>
      </x:c>
      <x:c r="T34" s="43" t="str">
        <x:f>IF(K34+L34&gt;0,"是","否")</x:f>
        <x:v>否</x:v>
      </x:c>
    </x:row>
    <x:row r="35">
      <x:c r="A35" s="42" t="str">
        <x:v>C_YUEREN_R1</x:v>
      </x:c>
      <x:c r="B35" s="38" t="str">
        <x:v>月系旁系</x:v>
      </x:c>
      <x:c r="C35" s="38" t="str">
        <x:v>月光蛊</x:v>
      </x:c>
      <x:c r="D35" s="38" t="n">
        <x:v>1</x:v>
      </x:c>
      <x:c r="E35" s="38" t="str">
        <x:v>月刃</x:v>
      </x:c>
      <x:c r="F35" s="38" t="str">
        <x:v>攻击</x:v>
      </x:c>
      <x:c r="G35" s="38" t="n">
        <x:v>1</x:v>
      </x:c>
      <x:c r="H35" s="38" t="n">
        <x:v>1</x:v>
      </x:c>
      <x:c r="I35" s="38" t="n">
        <x:v>6</x:v>
      </x:c>
      <x:c r="J35" s="38" t="n">
        <x:v>0</x:v>
      </x:c>
      <x:c r="K35" s="38" t="n">
        <x:v>3</x:v>
      </x:c>
      <x:c r="L35" s="38" t="n">
        <x:v>0</x:v>
      </x:c>
      <x:c r="M35" s="38" t="str">
        <x:v>—</x:v>
      </x:c>
      <x:c r="N35" s="38" t="str">
        <x:v>月华：每层折光伤害+2；最多3层；本场最多触发3次</x:v>
      </x:c>
      <x:c r="O35" s="38" t="n">
        <x:v>3</x:v>
      </x:c>
      <x:c r="P35" s="38" t="str">
        <x:v>数值型折光；月华强化后的折光也会被聚光重复</x:v>
      </x:c>
      <x:c r="Q35" s="38" t="n">
        <x:f>I35+J35</x:f>
        <x:v>6</x:v>
      </x:c>
      <x:c r="R35" s="38" t="n">
        <x:f>I35+J35+K35+L35</x:f>
        <x:v>9</x:v>
      </x:c>
      <x:c r="S35" s="38" t="n">
        <x:f>I35+J35+2*(K35+L35)</x:f>
        <x:v>12</x:v>
      </x:c>
      <x:c r="T35" s="43" t="str">
        <x:f>IF(K35+L35&gt;0,"是","否")</x:f>
        <x:v>是</x:v>
      </x:c>
    </x:row>
    <x:row r="36">
      <x:c r="A36" s="42" t="str">
        <x:v>C_YUPIJIA_R1</x:v>
      </x:c>
      <x:c r="B36" s="38" t="str">
        <x:v>月系材料</x:v>
      </x:c>
      <x:c r="C36" s="38" t="str">
        <x:v>玉皮蛊</x:v>
      </x:c>
      <x:c r="D36" s="38" t="n">
        <x:v>1</x:v>
      </x:c>
      <x:c r="E36" s="38" t="str">
        <x:v>玉皮甲</x:v>
      </x:c>
      <x:c r="F36" s="38" t="str">
        <x:v>技能</x:v>
      </x:c>
      <x:c r="G36" s="38" t="n">
        <x:v>1</x:v>
      </x:c>
      <x:c r="H36" s="38" t="n">
        <x:v>1</x:v>
      </x:c>
      <x:c r="I36" s="38" t="n">
        <x:v>0</x:v>
      </x:c>
      <x:c r="J36" s="38" t="n">
        <x:v>6</x:v>
      </x:c>
      <x:c r="K36" s="38" t="n">
        <x:v>0</x:v>
      </x:c>
      <x:c r="L36" s="38" t="n">
        <x:v>0</x:v>
      </x:c>
      <x:c r="M36" s="38" t="str">
        <x:v>—</x:v>
      </x:c>
      <x:c r="N36" s="38" t="str">
        <x:v>每层基础格挡+3；最多3层；本场最多触发3次</x:v>
      </x:c>
      <x:c r="O36" s="38" t="n">
        <x:v>3</x:v>
      </x:c>
      <x:c r="P36" s="38" t="str">
        <x:v>无折光段，不消耗聚光</x:v>
      </x:c>
      <x:c r="Q36" s="38" t="n">
        <x:f>I36+J36</x:f>
        <x:v>6</x:v>
      </x:c>
      <x:c r="R36" s="38" t="n">
        <x:f>I36+J36+K36+L36</x:f>
        <x:v>6</x:v>
      </x:c>
      <x:c r="S36" s="38" t="n">
        <x:f>I36+J36+2*(K36+L36)</x:f>
        <x:v>6</x:v>
      </x:c>
      <x:c r="T36" s="43" t="str">
        <x:f>IF(K36+L36&gt;0,"是","否")</x:f>
        <x:v>否</x:v>
      </x:c>
    </x:row>
    <x:row r="37">
      <x:c r="A37" s="42" t="str">
        <x:v>C_YUENI_R2</x:v>
      </x:c>
      <x:c r="B37" s="38" t="str">
        <x:v>月系旁系</x:v>
      </x:c>
      <x:c r="C37" s="38" t="str">
        <x:v>月霓裳蛊</x:v>
      </x:c>
      <x:c r="D37" s="38" t="n">
        <x:v>2</x:v>
      </x:c>
      <x:c r="E37" s="38" t="str">
        <x:v>月霓</x:v>
      </x:c>
      <x:c r="F37" s="38" t="str">
        <x:v>技能</x:v>
      </x:c>
      <x:c r="G37" s="38" t="n">
        <x:v>2</x:v>
      </x:c>
      <x:c r="H37" s="38" t="n">
        <x:v>1</x:v>
      </x:c>
      <x:c r="I37" s="38" t="n">
        <x:v>0</x:v>
      </x:c>
      <x:c r="J37" s="38" t="n">
        <x:v>5</x:v>
      </x:c>
      <x:c r="K37" s="38" t="n">
        <x:v>0</x:v>
      </x:c>
      <x:c r="L37" s="38" t="n">
        <x:v>3</x:v>
      </x:c>
      <x:c r="M37" s="38" t="str">
        <x:v>—</x:v>
      </x:c>
      <x:c r="N37" s="38" t="str">
        <x:v>霓护：本场1次，折光格挡额外+2</x:v>
      </x:c>
      <x:c r="O37" s="38" t="n">
        <x:v>1</x:v>
      </x:c>
      <x:c r="P37" s="38" t="str">
        <x:v>数值型折光，可被聚光重复</x:v>
      </x:c>
      <x:c r="Q37" s="38" t="n">
        <x:f>I37+J37</x:f>
        <x:v>5</x:v>
      </x:c>
      <x:c r="R37" s="38" t="n">
        <x:f>I37+J37+K37+L37</x:f>
        <x:v>8</x:v>
      </x:c>
      <x:c r="S37" s="38" t="n">
        <x:f>I37+J37+2*(K37+L37)</x:f>
        <x:v>11</x:v>
      </x:c>
      <x:c r="T37" s="43" t="str">
        <x:f>IF(K37+L37&gt;0,"是","否")</x:f>
        <x:v>是</x:v>
      </x:c>
    </x:row>
    <x:row r="38">
      <x:c r="A38" s="42" t="str">
        <x:v>C_HAOYUESHOU_R3</x:v>
      </x:c>
      <x:c r="B38" s="38" t="str">
        <x:v>月系旁系</x:v>
      </x:c>
      <x:c r="C38" s="38" t="str">
        <x:v>皓月霓裳蛊</x:v>
      </x:c>
      <x:c r="D38" s="38" t="n">
        <x:v>3</x:v>
      </x:c>
      <x:c r="E38" s="38" t="str">
        <x:v>皓月绶</x:v>
      </x:c>
      <x:c r="F38" s="38" t="str">
        <x:v>技能</x:v>
      </x:c>
      <x:c r="G38" s="38" t="n">
        <x:v>1</x:v>
      </x:c>
      <x:c r="H38" s="38" t="n">
        <x:v>1</x:v>
      </x:c>
      <x:c r="I38" s="38" t="n">
        <x:v>0</x:v>
      </x:c>
      <x:c r="J38" s="38" t="n">
        <x:v>6</x:v>
      </x:c>
      <x:c r="K38" s="38" t="n">
        <x:v>0</x:v>
      </x:c>
      <x:c r="L38" s="38" t="n">
        <x:v>4</x:v>
      </x:c>
      <x:c r="M38" s="38" t="str">
        <x:v>—</x:v>
      </x:c>
      <x:c r="N38" s="38" t="str">
        <x:v>皓辉：本场1次，折光格挡额外+2</x:v>
      </x:c>
      <x:c r="O38" s="38" t="n">
        <x:v>1</x:v>
      </x:c>
      <x:c r="P38" s="38" t="str">
        <x:v>月系主防御动作</x:v>
      </x:c>
      <x:c r="Q38" s="38" t="n">
        <x:f>I38+J38</x:f>
        <x:v>6</x:v>
      </x:c>
      <x:c r="R38" s="38" t="n">
        <x:f>I38+J38+K38+L38</x:f>
        <x:v>10</x:v>
      </x:c>
      <x:c r="S38" s="38" t="n">
        <x:f>I38+J38+2*(K38+L38)</x:f>
        <x:v>14</x:v>
      </x:c>
      <x:c r="T38" s="43" t="str">
        <x:f>IF(K38+L38&gt;0,"是","否")</x:f>
        <x:v>是</x:v>
      </x:c>
    </x:row>
    <x:row r="39">
      <x:c r="A39" s="42" t="str">
        <x:v>C_HAOYUEYIN_R3</x:v>
      </x:c>
      <x:c r="B39" s="38" t="str">
        <x:v>月系旁系</x:v>
      </x:c>
      <x:c r="C39" s="38" t="str">
        <x:v>皓月霓裳蛊</x:v>
      </x:c>
      <x:c r="D39" s="38" t="n">
        <x:v>3</x:v>
      </x:c>
      <x:c r="E39" s="38" t="str">
        <x:v>皓月引</x:v>
      </x:c>
      <x:c r="F39" s="38" t="str">
        <x:v>技能</x:v>
      </x:c>
      <x:c r="G39" s="38" t="n">
        <x:v>1</x:v>
      </x:c>
      <x:c r="H39" s="38" t="n">
        <x:v>1</x:v>
      </x:c>
      <x:c r="I39" s="38" t="n">
        <x:v>0</x:v>
      </x:c>
      <x:c r="J39" s="38" t="n">
        <x:v>4</x:v>
      </x:c>
      <x:c r="K39" s="38" t="n">
        <x:v>0</x:v>
      </x:c>
      <x:c r="L39" s="38" t="n">
        <x:v>2</x:v>
      </x:c>
      <x:c r="M39" s="38" t="str">
        <x:v>折光后：下一张攻击牌强制折光</x:v>
      </x:c>
      <x:c r="N39" s="38" t="str">
        <x:v>皓辉：本场1次，折光格挡额外+2</x:v>
      </x:c>
      <x:c r="O39" s="38" t="n">
        <x:v>1</x:v>
      </x:c>
      <x:c r="P39" s="38" t="str">
        <x:v>数值+功能混合折光；重复时强制折光不叠加</x:v>
      </x:c>
      <x:c r="Q39" s="38" t="n">
        <x:f>I39+J39</x:f>
        <x:v>4</x:v>
      </x:c>
      <x:c r="R39" s="38" t="n">
        <x:f>I39+J39+K39+L39</x:f>
        <x:v>6</x:v>
      </x:c>
      <x:c r="S39" s="38" t="n">
        <x:f>I39+J39+2*(K39+L39)</x:f>
        <x:v>8</x:v>
      </x:c>
      <x:c r="T39" s="43" t="str">
        <x:f>IF(K39+L39&gt;0,"是","否")</x:f>
        <x:v>是</x:v>
      </x:c>
    </x:row>
    <x:row r="40">
      <x:c r="A40" s="42" t="str">
        <x:v>C_BAOYUEYI_R4</x:v>
      </x:c>
      <x:c r="B40" s="38" t="str">
        <x:v>月系旁系</x:v>
      </x:c>
      <x:c r="C40" s="38" t="str">
        <x:v>宝月霓裳蛊</x:v>
      </x:c>
      <x:c r="D40" s="38" t="n">
        <x:v>4</x:v>
      </x:c>
      <x:c r="E40" s="38" t="str">
        <x:v>宝月衣</x:v>
      </x:c>
      <x:c r="F40" s="38" t="str">
        <x:v>技能</x:v>
      </x:c>
      <x:c r="G40" s="38" t="n">
        <x:v>1</x:v>
      </x:c>
      <x:c r="H40" s="38" t="n">
        <x:v>1</x:v>
      </x:c>
      <x:c r="I40" s="38" t="n">
        <x:v>0</x:v>
      </x:c>
      <x:c r="J40" s="38" t="n">
        <x:v>9</x:v>
      </x:c>
      <x:c r="K40" s="38" t="n">
        <x:v>0</x:v>
      </x:c>
      <x:c r="L40" s="38" t="n">
        <x:v>5</x:v>
      </x:c>
      <x:c r="M40" s="38" t="str">
        <x:v>折光后：下一张攻击牌强制折光</x:v>
      </x:c>
      <x:c r="N40" s="38" t="str">
        <x:v>宝霓：本场前2次，折光格挡额外+3</x:v>
      </x:c>
      <x:c r="O40" s="38" t="n">
        <x:v>2</x:v>
      </x:c>
      <x:c r="P40" s="38" t="str">
        <x:v>高质量数值折光，聚光重复后格挡显著提升</x:v>
      </x:c>
      <x:c r="Q40" s="38" t="n">
        <x:f>I40+J40</x:f>
        <x:v>9</x:v>
      </x:c>
      <x:c r="R40" s="38" t="n">
        <x:f>I40+J40+K40+L40</x:f>
        <x:v>14</x:v>
      </x:c>
      <x:c r="S40" s="38" t="n">
        <x:f>I40+J40+2*(K40+L40)</x:f>
        <x:v>19</x:v>
      </x:c>
      <x:c r="T40" s="43" t="str">
        <x:f>IF(K40+L40&gt;0,"是","否")</x:f>
        <x:v>是</x:v>
      </x:c>
    </x:row>
    <x:row r="41">
      <x:c r="A41" s="42" t="str">
        <x:v>C_BAOYUEWANGYI_R5</x:v>
      </x:c>
      <x:c r="B41" s="38" t="str">
        <x:v>月系旁系</x:v>
      </x:c>
      <x:c r="C41" s="38" t="str">
        <x:v>宝月光王蛊</x:v>
      </x:c>
      <x:c r="D41" s="38" t="n">
        <x:v>5</x:v>
      </x:c>
      <x:c r="E41" s="38" t="str">
        <x:v>宝月王衣</x:v>
      </x:c>
      <x:c r="F41" s="38" t="str">
        <x:v>技能</x:v>
      </x:c>
      <x:c r="G41" s="38" t="n">
        <x:v>1</x:v>
      </x:c>
      <x:c r="H41" s="38" t="n">
        <x:v>1</x:v>
      </x:c>
      <x:c r="I41" s="38" t="n">
        <x:v>0</x:v>
      </x:c>
      <x:c r="J41" s="38" t="n">
        <x:v>10</x:v>
      </x:c>
      <x:c r="K41" s="38" t="n">
        <x:v>0</x:v>
      </x:c>
      <x:c r="L41" s="38" t="n">
        <x:v>6</x:v>
      </x:c>
      <x:c r="M41" s="38" t="str">
        <x:v>—</x:v>
      </x:c>
      <x:c r="N41" s="38" t="str">
        <x:v>本场1次：折光格挡额外+4</x:v>
      </x:c>
      <x:c r="O41" s="38" t="n">
        <x:v>1</x:v>
      </x:c>
      <x:c r="P41" s="38" t="str">
        <x:v>五转数值防御核心，可消耗聚光重复</x:v>
      </x:c>
      <x:c r="Q41" s="38" t="n">
        <x:f>I41+J41</x:f>
        <x:v>10</x:v>
      </x:c>
      <x:c r="R41" s="38" t="n">
        <x:f>I41+J41+K41+L41</x:f>
        <x:v>16</x:v>
      </x:c>
      <x:c r="S41" s="38" t="n">
        <x:f>I41+J41+2*(K41+L41)</x:f>
        <x:v>22</x:v>
      </x:c>
      <x:c r="T41" s="43" t="str">
        <x:f>IF(K41+L41&gt;0,"是","否")</x:f>
        <x:v>是</x:v>
      </x:c>
    </x:row>
    <x:row r="42">
      <x:c r="A42" s="44" t="str">
        <x:v>C_YUEWANGHUI_R5</x:v>
      </x:c>
      <x:c r="B42" s="130" t="str">
        <x:v>月系旁系</x:v>
      </x:c>
      <x:c r="C42" s="130" t="str">
        <x:v>宝月光王蛊</x:v>
      </x:c>
      <x:c r="D42" s="130" t="n">
        <x:v>5</x:v>
      </x:c>
      <x:c r="E42" s="130" t="str">
        <x:v>月王辉</x:v>
      </x:c>
      <x:c r="F42" s="130" t="str">
        <x:v>技能</x:v>
      </x:c>
      <x:c r="G42" s="130" t="n">
        <x:v>1</x:v>
      </x:c>
      <x:c r="H42" s="130" t="n">
        <x:v>1</x:v>
      </x:c>
      <x:c r="I42" s="130" t="n">
        <x:v>0</x:v>
      </x:c>
      <x:c r="J42" s="130" t="n">
        <x:v>5</x:v>
      </x:c>
      <x:c r="K42" s="130" t="n">
        <x:v>0</x:v>
      </x:c>
      <x:c r="L42" s="130" t="n">
        <x:v>0</x:v>
      </x:c>
      <x:c r="M42" s="130" t="str">
        <x:v>折光：下一张攻击牌强制折光，并获得1聚光</x:v>
      </x:c>
      <x:c r="N42" s="130" t="str">
        <x:v>本场1次：额外获得1聚光（总计2）</x:v>
      </x:c>
      <x:c r="O42" s="130" t="n">
        <x:v>1</x:v>
      </x:c>
      <x:c r="P42" s="130" t="str">
        <x:v>纯功能折光；负责给下一次攻击准备重复机会</x:v>
      </x:c>
      <x:c r="Q42" s="130" t="n">
        <x:f>I42+J42</x:f>
        <x:v>5</x:v>
      </x:c>
      <x:c r="R42" s="130" t="n">
        <x:f>I42+J42+K42+L42</x:f>
        <x:v>5</x:v>
      </x:c>
      <x:c r="S42" s="130" t="n">
        <x:f>I42+J42+2*(K42+L42)</x:f>
        <x:v>5</x:v>
      </x:c>
      <x:c r="T42" s="45" t="str">
        <x:f>IF(K42+L42&gt;0,"是","否")</x:f>
        <x:v>否</x:v>
      </x:c>
    </x:row>
  </x:sheetData>
  <x:conditionalFormatting sqref="F2:F42">
    <x:cfRule type="expression" dxfId="3" priority="1">
      <x:formula>F2="攻击"</x:formula>
    </x:cfRule>
    <x:cfRule type="expression" dxfId="4" priority="2">
      <x:formula>F2="技能"</x:formula>
    </x:cfRule>
  </x:conditionalFormatting>
  <x:conditionalFormatting sqref="T2:T42">
    <x:cfRule type="expression" dxfId="5" priority="3">
      <x:formula>T2="是"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292e2c2e3148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8" hidden="0" customWidth="1"/>
    <x:col min="5" max="5" width="18" hidden="0" customWidth="1"/>
    <x:col min="6" max="6" width="8" hidden="0" customWidth="1"/>
    <x:col min="7" max="7" width="18" hidden="0" customWidth="1"/>
    <x:col min="8" max="8" width="8" hidden="0" customWidth="1"/>
    <x:col min="9" max="9" width="10" hidden="0" customWidth="1"/>
    <x:col min="10" max="10" width="10" hidden="0" customWidth="1"/>
    <x:col min="11" max="11" width="28" hidden="0" customWidth="1"/>
    <x:col min="12" max="12" width="34" hidden="0" customWidth="1"/>
  </x:cols>
  <x:sheetData>
    <x:row r="1">
      <x:c r="A1" s="24" t="str">
        <x:v>路线</x:v>
      </x:c>
      <x:c r="B1" s="124" t="str">
        <x:v>类别</x:v>
      </x:c>
      <x:c r="C1" s="124" t="str">
        <x:v>材料A</x:v>
      </x:c>
      <x:c r="D1" s="124" t="str">
        <x:v>A转</x:v>
      </x:c>
      <x:c r="E1" s="124" t="str">
        <x:v>材料B</x:v>
      </x:c>
      <x:c r="F1" s="124" t="str">
        <x:v>B转</x:v>
      </x:c>
      <x:c r="G1" s="124" t="str">
        <x:v>结果</x:v>
      </x:c>
      <x:c r="H1" s="124" t="str">
        <x:v>结果转</x:v>
      </x:c>
      <x:c r="I1" s="124" t="str">
        <x:v>公式结果</x:v>
      </x:c>
      <x:c r="J1" s="124" t="str">
        <x:v>校验</x:v>
      </x:c>
      <x:c r="K1" s="124" t="str">
        <x:v>来源说明</x:v>
      </x:c>
      <x:c r="L1" s="25" t="str">
        <x:v>设计目的</x:v>
      </x:c>
    </x:row>
    <x:row r="2">
      <x:c r="A2" s="40" t="str">
        <x:v>光道主线</x:v>
      </x:c>
      <x:c r="B2" s="129" t="str">
        <x:v>升炼</x:v>
      </x:c>
      <x:c r="C2" s="129" t="str">
        <x:v>辉光蛊</x:v>
      </x:c>
      <x:c r="D2" s="129" t="n">
        <x:v>1</x:v>
      </x:c>
      <x:c r="E2" s="129" t="str">
        <x:v>—</x:v>
      </x:c>
      <x:c r="F2" s="129" t="str">
        <x:v>—</x:v>
      </x:c>
      <x:c r="G2" s="129" t="str">
        <x:v>辉光蛊</x:v>
      </x:c>
      <x:c r="H2" s="129" t="n">
        <x:v>2</x:v>
      </x:c>
      <x:c r="I2" s="129" t="n">
        <x:f>D2+1</x:f>
        <x:v>2</x:v>
      </x:c>
      <x:c r="J2" s="129" t="str">
        <x:f>IF(I2=H2,"OK","CHECK")</x:f>
        <x:v>OK</x:v>
      </x:c>
      <x:c r="K2" s="129" t="str">
        <x:v>模组设计</x:v>
      </x:c>
      <x:c r="L2" s="41" t="str">
        <x:v>低阶量变</x:v>
      </x:c>
    </x:row>
    <x:row r="3">
      <x:c r="A3" s="42" t="str">
        <x:v>光道主线</x:v>
      </x:c>
      <x:c r="B3" s="38" t="str">
        <x:v>合练</x:v>
      </x:c>
      <x:c r="C3" s="38" t="str">
        <x:v>辉光蛊</x:v>
      </x:c>
      <x:c r="D3" s="38" t="n">
        <x:v>2</x:v>
      </x:c>
      <x:c r="E3" s="38" t="str">
        <x:v>炫光蛊</x:v>
      </x:c>
      <x:c r="F3" s="38" t="n">
        <x:v>2</x:v>
      </x:c>
      <x:c r="G3" s="38" t="str">
        <x:v>光虹蛊</x:v>
      </x:c>
      <x:c r="H3" s="38" t="n">
        <x:v>3</x:v>
      </x:c>
      <x:c r="I3" s="38" t="n">
        <x:f>MAX(D3,F3)+1</x:f>
        <x:v>3</x:v>
      </x:c>
      <x:c r="J3" s="38" t="str">
        <x:f>IF(I3=H3,"OK","CHECK")</x:f>
        <x:v>OK</x:v>
      </x:c>
      <x:c r="K3" s="38" t="str">
        <x:v>模组设计</x:v>
      </x:c>
      <x:c r="L3" s="43" t="str">
        <x:v>攻击密度转为技能循环</x:v>
      </x:c>
    </x:row>
    <x:row r="4">
      <x:c r="A4" s="42" t="str">
        <x:v>光道主线</x:v>
      </x:c>
      <x:c r="B4" s="38" t="str">
        <x:v>合练</x:v>
      </x:c>
      <x:c r="C4" s="38" t="str">
        <x:v>光虹蛊</x:v>
      </x:c>
      <x:c r="D4" s="38" t="n">
        <x:v>3</x:v>
      </x:c>
      <x:c r="E4" s="38" t="str">
        <x:v>光源蛊</x:v>
      </x:c>
      <x:c r="F4" s="38" t="n">
        <x:v>3</x:v>
      </x:c>
      <x:c r="G4" s="38" t="str">
        <x:v>聚光蛊</x:v>
      </x:c>
      <x:c r="H4" s="38" t="n">
        <x:v>4</x:v>
      </x:c>
      <x:c r="I4" s="38" t="n">
        <x:f>MAX(D4,F4)+1</x:f>
        <x:v>4</x:v>
      </x:c>
      <x:c r="J4" s="38" t="str">
        <x:f>IF(I4=H4,"OK","CHECK")</x:f>
        <x:v>OK</x:v>
      </x:c>
      <x:c r="K4" s="38" t="str">
        <x:v>模组设计</x:v>
      </x:c>
      <x:c r="L4" s="43" t="str">
        <x:v>建立折光重复资源</x:v>
      </x:c>
    </x:row>
    <x:row r="5">
      <x:c r="A5" s="42" t="str">
        <x:v>光道主线</x:v>
      </x:c>
      <x:c r="B5" s="38" t="str">
        <x:v>合练</x:v>
      </x:c>
      <x:c r="C5" s="38" t="str">
        <x:v>炫光蛊</x:v>
      </x:c>
      <x:c r="D5" s="38" t="n">
        <x:v>4</x:v>
      </x:c>
      <x:c r="E5" s="38" t="str">
        <x:v>借光蛊</x:v>
      </x:c>
      <x:c r="F5" s="38" t="n">
        <x:v>4</x:v>
      </x:c>
      <x:c r="G5" s="38" t="str">
        <x:v>太光蛊</x:v>
      </x:c>
      <x:c r="H5" s="38" t="n">
        <x:v>5</x:v>
      </x:c>
      <x:c r="I5" s="38" t="n">
        <x:f>MAX(D5,F5)+1</x:f>
        <x:v>5</x:v>
      </x:c>
      <x:c r="J5" s="38" t="str">
        <x:f>IF(I5=H5,"OK","CHECK")</x:f>
        <x:v>OK</x:v>
      </x:c>
      <x:c r="K5" s="38" t="str">
        <x:v>模组设计</x:v>
      </x:c>
      <x:c r="L5" s="43" t="str">
        <x:v>形成五转重复折光爆发终端</x:v>
      </x:c>
    </x:row>
    <x:row r="6">
      <x:c r="A6" s="42" t="str">
        <x:v>月系旁系</x:v>
      </x:c>
      <x:c r="B6" s="38" t="str">
        <x:v>合练</x:v>
      </x:c>
      <x:c r="C6" s="38" t="str">
        <x:v>月光蛊</x:v>
      </x:c>
      <x:c r="D6" s="38" t="n">
        <x:v>1</x:v>
      </x:c>
      <x:c r="E6" s="38" t="str">
        <x:v>玉皮蛊</x:v>
      </x:c>
      <x:c r="F6" s="38" t="n">
        <x:v>1</x:v>
      </x:c>
      <x:c r="G6" s="38" t="str">
        <x:v>月霓裳蛊</x:v>
      </x:c>
      <x:c r="H6" s="38" t="n">
        <x:v>2</x:v>
      </x:c>
      <x:c r="I6" s="38" t="n">
        <x:f>MAX(D6,F6)+1</x:f>
        <x:v>2</x:v>
      </x:c>
      <x:c r="J6" s="38" t="str">
        <x:f>IF(I6=H6,"OK","CHECK")</x:f>
        <x:v>OK</x:v>
      </x:c>
      <x:c r="K6" s="38" t="str">
        <x:v>原著关系骨架/卡牌效果模组化</x:v>
      </x:c>
      <x:c r="L6" s="43" t="str">
        <x:v>月刃+护体转为月霓防御</x:v>
      </x:c>
    </x:row>
    <x:row r="7">
      <x:c r="A7" s="42" t="str">
        <x:v>月系旁系</x:v>
      </x:c>
      <x:c r="B7" s="38" t="str">
        <x:v>合练</x:v>
      </x:c>
      <x:c r="C7" s="38" t="str">
        <x:v>月霓裳蛊</x:v>
      </x:c>
      <x:c r="D7" s="38" t="n">
        <x:v>2</x:v>
      </x:c>
      <x:c r="E7" s="38" t="str">
        <x:v>反光蛊</x:v>
      </x:c>
      <x:c r="F7" s="38" t="n">
        <x:v>2</x:v>
      </x:c>
      <x:c r="G7" s="38" t="str">
        <x:v>皓月霓裳蛊</x:v>
      </x:c>
      <x:c r="H7" s="38" t="n">
        <x:v>3</x:v>
      </x:c>
      <x:c r="I7" s="38" t="n">
        <x:f>MAX(D7,F7)+1</x:f>
        <x:v>3</x:v>
      </x:c>
      <x:c r="J7" s="38" t="str">
        <x:f>IF(I7=H7,"OK","CHECK")</x:f>
        <x:v>OK</x:v>
      </x:c>
      <x:c r="K7" s="38" t="str">
        <x:v>模组补全</x:v>
      </x:c>
      <x:c r="L7" s="43" t="str">
        <x:v>强化反射与护持</x:v>
      </x:c>
    </x:row>
    <x:row r="8">
      <x:c r="A8" s="42" t="str">
        <x:v>月系旁系</x:v>
      </x:c>
      <x:c r="B8" s="38" t="str">
        <x:v>合练</x:v>
      </x:c>
      <x:c r="C8" s="38" t="str">
        <x:v>皓月霓裳蛊</x:v>
      </x:c>
      <x:c r="D8" s="38" t="n">
        <x:v>3</x:v>
      </x:c>
      <x:c r="E8" s="38" t="str">
        <x:v>回光蛊</x:v>
      </x:c>
      <x:c r="F8" s="38" t="n">
        <x:v>3</x:v>
      </x:c>
      <x:c r="G8" s="38" t="str">
        <x:v>宝月霓裳蛊</x:v>
      </x:c>
      <x:c r="H8" s="38" t="n">
        <x:v>4</x:v>
      </x:c>
      <x:c r="I8" s="38" t="n">
        <x:f>MAX(D8,F8)+1</x:f>
        <x:v>4</x:v>
      </x:c>
      <x:c r="J8" s="38" t="str">
        <x:f>IF(I8=H8,"OK","CHECK")</x:f>
        <x:v>OK</x:v>
      </x:c>
      <x:c r="K8" s="38" t="str">
        <x:v>模组补全</x:v>
      </x:c>
      <x:c r="L8" s="43" t="str">
        <x:v>加入回光接续能力</x:v>
      </x:c>
    </x:row>
    <x:row r="9">
      <x:c r="A9" s="42" t="str">
        <x:v>月系旁系</x:v>
      </x:c>
      <x:c r="B9" s="38" t="str">
        <x:v>合练</x:v>
      </x:c>
      <x:c r="C9" s="38" t="str">
        <x:v>宝月霓裳蛊</x:v>
      </x:c>
      <x:c r="D9" s="38" t="n">
        <x:v>4</x:v>
      </x:c>
      <x:c r="E9" s="38" t="str">
        <x:v>璇光蛊</x:v>
      </x:c>
      <x:c r="F9" s="38" t="n">
        <x:v>4</x:v>
      </x:c>
      <x:c r="G9" s="38" t="str">
        <x:v>宝月光王蛊</x:v>
      </x:c>
      <x:c r="H9" s="38" t="n">
        <x:v>5</x:v>
      </x:c>
      <x:c r="I9" s="38" t="n">
        <x:f>MAX(D9,F9)+1</x:f>
        <x:v>5</x:v>
      </x:c>
      <x:c r="J9" s="38" t="str">
        <x:f>IF(I9=H9,"OK","CHECK")</x:f>
        <x:v>OK</x:v>
      </x:c>
      <x:c r="K9" s="38" t="str">
        <x:v>模组补全</x:v>
      </x:c>
      <x:c r="L9" s="43" t="str">
        <x:v>五转月系完全体</x:v>
      </x:c>
    </x:row>
    <x:row r="10">
      <x:c r="A10" s="42" t="str">
        <x:v>六转并流</x:v>
      </x:c>
      <x:c r="B10" s="38" t="str">
        <x:v>合练</x:v>
      </x:c>
      <x:c r="C10" s="38" t="str">
        <x:v>太光蛊</x:v>
      </x:c>
      <x:c r="D10" s="38" t="n">
        <x:v>5</x:v>
      </x:c>
      <x:c r="E10" s="38" t="str">
        <x:v>宝月光王蛊</x:v>
      </x:c>
      <x:c r="F10" s="38" t="n">
        <x:v>5</x:v>
      </x:c>
      <x:c r="G10" s="38" t="str">
        <x:v>恒光仙蛊</x:v>
      </x:c>
      <x:c r="H10" s="38" t="n">
        <x:v>6</x:v>
      </x:c>
      <x:c r="I10" s="38" t="n">
        <x:f>MAX(D10,F10)+1</x:f>
        <x:v>6</x:v>
      </x:c>
      <x:c r="J10" s="38" t="str">
        <x:f>IF(I10=H10,"OK","CHECK")</x:f>
        <x:v>OK</x:v>
      </x:c>
      <x:c r="K10" s="38" t="str">
        <x:v>当前定案</x:v>
      </x:c>
      <x:c r="L10" s="43" t="str">
        <x:v>爆发重复 + 月系护持 → 恒光</x:v>
      </x:c>
    </x:row>
    <x:row r="11">
      <x:c r="A11" s="42" t="str">
        <x:v>六转后主线</x:v>
      </x:c>
      <x:c r="B11" s="38" t="str">
        <x:v>升炼</x:v>
      </x:c>
      <x:c r="C11" s="38" t="str">
        <x:v>恒光仙蛊</x:v>
      </x:c>
      <x:c r="D11" s="38" t="n">
        <x:v>6</x:v>
      </x:c>
      <x:c r="E11" s="38" t="str">
        <x:v>—</x:v>
      </x:c>
      <x:c r="F11" s="38" t="str">
        <x:v>—</x:v>
      </x:c>
      <x:c r="G11" s="38" t="str">
        <x:v>恒光仙蛊</x:v>
      </x:c>
      <x:c r="H11" s="38" t="n">
        <x:v>7</x:v>
      </x:c>
      <x:c r="I11" s="38" t="n">
        <x:f>D11+1</x:f>
        <x:v>7</x:v>
      </x:c>
      <x:c r="J11" s="38" t="str">
        <x:f>IF(I11=H11,"OK","CHECK")</x:f>
        <x:v>OK</x:v>
      </x:c>
      <x:c r="K11" s="38" t="str">
        <x:v>模组设计</x:v>
      </x:c>
      <x:c r="L11" s="43" t="str">
        <x:v>仙级量变</x:v>
      </x:c>
    </x:row>
    <x:row r="12">
      <x:c r="A12" s="42" t="str">
        <x:v>六转后主线</x:v>
      </x:c>
      <x:c r="B12" s="38" t="str">
        <x:v>升炼</x:v>
      </x:c>
      <x:c r="C12" s="38" t="str">
        <x:v>恒光仙蛊</x:v>
      </x:c>
      <x:c r="D12" s="38" t="n">
        <x:v>7</x:v>
      </x:c>
      <x:c r="E12" s="38" t="str">
        <x:v>—</x:v>
      </x:c>
      <x:c r="F12" s="38" t="str">
        <x:v>—</x:v>
      </x:c>
      <x:c r="G12" s="38" t="str">
        <x:v>恒光仙蛊</x:v>
      </x:c>
      <x:c r="H12" s="38" t="n">
        <x:v>8</x:v>
      </x:c>
      <x:c r="I12" s="38" t="n">
        <x:f>D12+1</x:f>
        <x:v>8</x:v>
      </x:c>
      <x:c r="J12" s="38" t="str">
        <x:f>IF(I12=H12,"OK","CHECK")</x:f>
        <x:v>OK</x:v>
      </x:c>
      <x:c r="K12" s="38" t="str">
        <x:v>模组设计</x:v>
      </x:c>
      <x:c r="L12" s="43" t="str">
        <x:v>仙级量变</x:v>
      </x:c>
    </x:row>
    <x:row r="13">
      <x:c r="A13" s="44" t="str">
        <x:v>六转后主线</x:v>
      </x:c>
      <x:c r="B13" s="130" t="str">
        <x:v>合练</x:v>
      </x:c>
      <x:c r="C13" s="130" t="str">
        <x:v>恒光仙蛊</x:v>
      </x:c>
      <x:c r="D13" s="130" t="n">
        <x:v>8</x:v>
      </x:c>
      <x:c r="E13" s="130" t="str">
        <x:v>太光蛊</x:v>
      </x:c>
      <x:c r="F13" s="130" t="n">
        <x:v>5</x:v>
      </x:c>
      <x:c r="G13" s="130" t="str">
        <x:v>光蛊</x:v>
      </x:c>
      <x:c r="H13" s="130" t="n">
        <x:v>9</x:v>
      </x:c>
      <x:c r="I13" s="130" t="n">
        <x:f>MAX(D13,F13)+1</x:f>
        <x:v>9</x:v>
      </x:c>
      <x:c r="J13" s="130" t="str">
        <x:f>IF(I13=H13,"OK","CHECK")</x:f>
        <x:v>OK</x:v>
      </x:c>
      <x:c r="K13" s="130" t="str">
        <x:v>模组设计</x:v>
      </x:c>
      <x:c r="L13" s="45" t="str">
        <x:v>九转规则级终点</x:v>
      </x:c>
    </x:row>
  </x:sheetData>
  <x:conditionalFormatting sqref="J2:J13">
    <x:cfRule type="expression" dxfId="6" priority="1">
      <x:formula>J2="CHECK"</x:formula>
    </x:cfRule>
    <x:cfRule type="expression" dxfId="7" priority="2">
      <x:formula>J2="OK"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ac06bf697541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44" hidden="0" customWidth="1"/>
  </x:cols>
  <x:sheetData>
    <x:row r="1">
      <x:c r="A1" s="134" t="str">
        <x:v>共享机制</x:v>
      </x:c>
      <x:c r="B1" s="134"/>
      <x:c r="C1" s="134"/>
    </x:row>
    <x:row r="2">
      <x:c r="A2" s="24" t="str">
        <x:v>机制</x:v>
      </x:c>
      <x:c r="B2" s="124" t="str">
        <x:v>当前规则</x:v>
      </x:c>
      <x:c r="C2" s="25" t="str">
        <x:v>设计目的</x:v>
      </x:c>
    </x:row>
    <x:row r="3">
      <x:c r="A3" s="40" t="str">
        <x:v>折光</x:v>
      </x:c>
      <x:c r="B3" s="129" t="str">
        <x:v>当本次普通牌类型与上一张普通牌不同（攻击↔技能）时，触发该牌的“折光”段。</x:v>
      </x:c>
      <x:c r="C3" s="41" t="str">
        <x:v>核心连段条件</x:v>
      </x:c>
    </x:row>
    <x:row r="4">
      <x:c r="A4" s="42" t="str">
        <x:v>强制折光</x:v>
      </x:c>
      <x:c r="B4" s="38" t="str">
        <x:v>下一张拥有折光段的牌无视类型条件触发折光；成功触发后消耗。</x:v>
      </x:c>
      <x:c r="C4" s="43" t="str">
        <x:v>修正牌序，不替代自然攻技交替</x:v>
      </x:c>
    </x:row>
    <x:row r="5">
      <x:c r="A5" s="42" t="str">
        <x:v>聚光 X</x:v>
      </x:c>
      <x:c r="B5" s="38" t="str">
        <x:v>你拥有X次“折光重复机会”。当一张牌触发带伤害或格挡数值的折光时，若聚光&gt;0，则在折光开始时消耗1聚光；正常结算折光段后，将该折光段完整额外结算1次。一次折光事件最多消耗1聚光。</x:v>
      </x:c>
      <x:c r="C5" s="43" t="str">
        <x:v>由数值加成改为折光重复</x:v>
      </x:c>
    </x:row>
    <x:row r="6">
      <x:c r="A6" s="42" t="str">
        <x:v>纯功能折光</x:v>
      </x:c>
      <x:c r="B6" s="38" t="str">
        <x:v>若折光段只有抽牌、回元气、获得聚光、强制折光、回收牌等功能而没有伤害/格挡数值，则不消耗聚光，也不会被聚光重复。</x:v>
      </x:c>
      <x:c r="C6" s="43" t="str">
        <x:v>防止功能循环被成倍复制</x:v>
      </x:c>
    </x:row>
    <x:row r="7">
      <x:c r="A7" s="42" t="str">
        <x:v>折光重复</x:v>
      </x:c>
      <x:c r="B7" s="38" t="str">
        <x:v>重复的是折光段，不重复卡牌基础效果。若折光段同时含数值与功能文本，则整段重复；强制折光属于布尔状态，多次赋予不叠加。</x:v>
      </x:c>
      <x:c r="C7" s="43" t="str">
        <x:v>聚光的实际执行规则</x:v>
      </x:c>
    </x:row>
    <x:row r="8">
      <x:c r="A8" s="42" t="str">
        <x:v>聚光判定时点</x:v>
      </x:c>
      <x:c r="B8" s="38" t="str">
        <x:v>在折光段开始前判断并消耗聚光。该折光段结算过程中获得的新聚光，只能用于之后的牌，不能反过来使本次折光重复。</x:v>
      </x:c>
      <x:c r="C8" s="43" t="str">
        <x:v>避免自生成自重复</x:v>
      </x:c>
    </x:row>
    <x:row r="9">
      <x:c r="A9" s="42" t="str">
        <x:v>伴生换代</x:v>
      </x:c>
      <x:c r="B9" s="38" t="str">
        <x:v>来源蛊被合练消耗时，其全部伴生一并移除；结果蛊重新生成自己的伴生动作组。</x:v>
      </x:c>
      <x:c r="C9" s="43" t="str">
        <x:v>合练是动作换代</x:v>
      </x:c>
    </x:row>
    <x:row r="10">
      <x:c r="A10" s="42" t="str">
        <x:v>强化次数</x:v>
      </x:c>
      <x:c r="B10" s="38" t="str">
        <x:v>强化层数与本场剩余触发次数分离；同场再次催动父蛊可加层，但不恢复已经消耗的触发次数。</x:v>
      </x:c>
      <x:c r="C10" s="43" t="str">
        <x:v>沿用伴生强化框架</x:v>
      </x:c>
    </x:row>
    <x:row r="11">
      <x:c r="A11" s="44" t="str">
        <x:v>奖励规则</x:v>
      </x:c>
      <x:c r="B11" s="130" t="str">
        <x:v>卡牌奖励只直接获得蛊牌；普通动作主要通过蛊虫伴生产生。</x:v>
      </x:c>
      <x:c r="C11" s="45" t="str">
        <x:v>伴生数量与类型本身属于强度预算</x:v>
      </x:c>
    </x:row>
    <x:row r="13">
      <x:c r="A13" s="134" t="str">
        <x:v>首轮数值基准</x:v>
      </x:c>
      <x:c r="B13" s="134"/>
      <x:c r="C13" s="134"/>
    </x:row>
    <x:row r="14">
      <x:c r="A14" s="24" t="str">
        <x:v>项目</x:v>
      </x:c>
      <x:c r="B14" s="124" t="str">
        <x:v>暂定基准</x:v>
      </x:c>
      <x:c r="C14" s="25" t="str">
        <x:v>说明</x:v>
      </x:c>
    </x:row>
    <x:row r="15">
      <x:c r="A15" s="40" t="str">
        <x:v>1费低阶攻击</x:v>
      </x:c>
      <x:c r="B15" s="129" t="str">
        <x:v>5–6基础伤害</x:v>
      </x:c>
      <x:c r="C15" s="41" t="str">
        <x:v>折光段通常再给2–3伤害</x:v>
      </x:c>
    </x:row>
    <x:row r="16">
      <x:c r="A16" s="42" t="str">
        <x:v>1费低阶技能</x:v>
      </x:c>
      <x:c r="B16" s="38" t="str">
        <x:v>5–6基础格挡</x:v>
      </x:c>
      <x:c r="C16" s="43" t="str">
        <x:v>折光段通常再给2–3格挡</x:v>
      </x:c>
    </x:row>
    <x:row r="17">
      <x:c r="A17" s="42" t="str">
        <x:v>聚光1层</x:v>
      </x:c>
      <x:c r="B17" s="38" t="str">
        <x:v>≈让下一次数值型折光再结算一次</x:v>
      </x:c>
      <x:c r="C17" s="43" t="str">
        <x:v>价值显著高于旧版“+1数值”，因此产量必须下降</x:v>
      </x:c>
    </x:row>
    <x:row r="18">
      <x:c r="A18" s="42" t="str">
        <x:v>聚光生成</x:v>
      </x:c>
      <x:c r="B18" s="38" t="str">
        <x:v>常规一次获得1；核心聚光蛊催动后可到2</x:v>
      </x:c>
      <x:c r="C18" s="43" t="str">
        <x:v>避免一次性囤积大量重复机会</x:v>
      </x:c>
    </x:row>
    <x:row r="19">
      <x:c r="A19" s="42" t="str">
        <x:v>纯功能折光</x:v>
      </x:c>
      <x:c r="B19" s="38" t="str">
        <x:v>默认不与聚光联动</x:v>
      </x:c>
      <x:c r="C19" s="43" t="str">
        <x:v>抽牌/回元气/回收牌不能成倍复制</x:v>
      </x:c>
    </x:row>
    <x:row r="20">
      <x:c r="A20" s="42" t="str">
        <x:v>数值+功能混合折光</x:v>
      </x:c>
      <x:c r="B20" s="38" t="str">
        <x:v>可被完整重复，但功能部分应避免直接制造大量聚光</x:v>
      </x:c>
      <x:c r="C20" s="43" t="str">
        <x:v>例如“额外格挡+强制下一张折光”可接受</x:v>
      </x:c>
    </x:row>
    <x:row r="21">
      <x:c r="A21" s="42" t="str">
        <x:v>五转爆发牌</x:v>
      </x:c>
      <x:c r="B21" s="38" t="str">
        <x:v>自然折光约13–15总值；聚光重复后约19–24总值</x:v>
      </x:c>
      <x:c r="C21" s="43" t="str">
        <x:v>需靠构筑和资源准备换爆发</x:v>
      </x:c>
    </x:row>
    <x:row r="22">
      <x:c r="A22" s="42" t="str">
        <x:v>仙级连续折光</x:v>
      </x:c>
      <x:c r="B22" s="38" t="str">
        <x:v>通过有限次数的聚光返还与强制折光维持</x:v>
      </x:c>
      <x:c r="C22" s="43" t="str">
        <x:v>不允许无限返还</x:v>
      </x:c>
    </x:row>
    <x:row r="23">
      <x:c r="A23" s="44" t="str">
        <x:v>伴生数量</x:v>
      </x:c>
      <x:c r="B23" s="130" t="str">
        <x:v>1张可高质量，2张需压低单张强度</x:v>
      </x:c>
      <x:c r="C23" s="45" t="str">
        <x:v>数量×费用×折光重复共同决定强度</x:v>
      </x:c>
    </x:row>
  </x:sheetData>
  <x:mergeCells>
    <x:mergeCell ref="A1:C1"/>
    <x:mergeCell ref="A13:C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8" hidden="0" customWidth="1"/>
    <x:col min="6" max="6" width="14" hidden="0" customWidth="1"/>
    <x:col min="7" max="7" width="16" hidden="0" customWidth="1"/>
    <x:col min="8" max="8" width="34" hidden="0" customWidth="1"/>
    <x:col min="9" max="9" width="20" hidden="0" customWidth="1"/>
    <x:col min="10" max="10" width="34" hidden="0" customWidth="1"/>
    <x:col min="11" max="11" width="14" hidden="0" customWidth="1"/>
    <x:col min="12" max="12" width="34" hidden="0" customWidth="1"/>
    <x:col min="13" max="13" width="22" hidden="0" customWidth="1"/>
    <x:col min="14" max="14" width="34" hidden="0" customWidth="1"/>
  </x:cols>
  <x:sheetData>
    <x:row r="1">
      <x:c r="A1" s="24" t="str">
        <x:v>日期</x:v>
      </x:c>
      <x:c r="B1" s="124" t="str">
        <x:v>版本/构筑</x:v>
      </x:c>
      <x:c r="C1" s="124" t="str">
        <x:v>章节/敌人</x:v>
      </x:c>
      <x:c r="D1" s="124" t="str">
        <x:v>蛊虫/伴生牌</x:v>
      </x:c>
      <x:c r="E1" s="124" t="str">
        <x:v>转数</x:v>
      </x:c>
      <x:c r="F1" s="124" t="str">
        <x:v>当前聚光峰值</x:v>
      </x:c>
      <x:c r="G1" s="124" t="str">
        <x:v>重复折光次数/回合</x:v>
      </x:c>
      <x:c r="H1" s="124" t="str">
        <x:v>当前牌组</x:v>
      </x:c>
      <x:c r="I1" s="124" t="str">
        <x:v>观察项</x:v>
      </x:c>
      <x:c r="J1" s="124" t="str">
        <x:v>实测结果</x:v>
      </x:c>
      <x:c r="K1" s="124" t="str">
        <x:v>问题类型</x:v>
      </x:c>
      <x:c r="L1" s="124" t="str">
        <x:v>建议调整</x:v>
      </x:c>
      <x:c r="M1" s="124" t="str">
        <x:v>调整后数值</x:v>
      </x:c>
      <x:c r="N1" s="25" t="str">
        <x:v>复测结果</x:v>
      </x:c>
    </x:row>
    <x:row r="2">
      <x:c r="A2" s="40" t="str"/>
      <x:c r="B2" s="129" t="str"/>
      <x:c r="C2" s="129" t="str"/>
      <x:c r="D2" s="129" t="str"/>
      <x:c r="E2" s="129" t="str"/>
      <x:c r="F2" s="129" t="str"/>
      <x:c r="G2" s="129" t="str"/>
      <x:c r="H2" s="129" t="str"/>
      <x:c r="I2" s="129" t="str"/>
      <x:c r="J2" s="129" t="str"/>
      <x:c r="K2" s="129" t="str"/>
      <x:c r="L2" s="129" t="str"/>
      <x:c r="M2" s="129" t="str"/>
      <x:c r="N2" s="41" t="str"/>
    </x:row>
    <x:row r="3">
      <x:c r="A3" s="42" t="str"/>
      <x:c r="B3" s="38" t="str"/>
      <x:c r="C3" s="38" t="str"/>
      <x:c r="D3" s="38" t="str"/>
      <x:c r="E3" s="38" t="str"/>
      <x:c r="F3" s="38" t="str"/>
      <x:c r="G3" s="38" t="str"/>
      <x:c r="H3" s="38" t="str"/>
      <x:c r="I3" s="38" t="str"/>
      <x:c r="J3" s="38" t="str"/>
      <x:c r="K3" s="38" t="str"/>
      <x:c r="L3" s="38" t="str"/>
      <x:c r="M3" s="38" t="str"/>
      <x:c r="N3" s="43" t="str"/>
    </x:row>
    <x:row r="4">
      <x:c r="A4" s="42" t="str"/>
      <x:c r="B4" s="38" t="str"/>
      <x:c r="C4" s="38" t="str"/>
      <x:c r="D4" s="38" t="str"/>
      <x:c r="E4" s="38" t="str"/>
      <x:c r="F4" s="38" t="str"/>
      <x:c r="G4" s="38" t="str"/>
      <x:c r="H4" s="38" t="str"/>
      <x:c r="I4" s="38" t="str"/>
      <x:c r="J4" s="38" t="str"/>
      <x:c r="K4" s="38" t="str"/>
      <x:c r="L4" s="38" t="str"/>
      <x:c r="M4" s="38" t="str"/>
      <x:c r="N4" s="43" t="str"/>
    </x:row>
    <x:row r="5">
      <x:c r="A5" s="42" t="str"/>
      <x:c r="B5" s="38" t="str"/>
      <x:c r="C5" s="38" t="str"/>
      <x:c r="D5" s="38" t="str"/>
      <x:c r="E5" s="38" t="str"/>
      <x:c r="F5" s="38" t="str"/>
      <x:c r="G5" s="38" t="str"/>
      <x:c r="H5" s="38" t="str"/>
      <x:c r="I5" s="38" t="str"/>
      <x:c r="J5" s="38" t="str"/>
      <x:c r="K5" s="38" t="str"/>
      <x:c r="L5" s="38" t="str"/>
      <x:c r="M5" s="38" t="str"/>
      <x:c r="N5" s="43" t="str"/>
    </x:row>
    <x:row r="6">
      <x:c r="A6" s="42" t="str"/>
      <x:c r="B6" s="38" t="str"/>
      <x:c r="C6" s="38" t="str"/>
      <x:c r="D6" s="38" t="str"/>
      <x:c r="E6" s="38" t="str"/>
      <x:c r="F6" s="38" t="str"/>
      <x:c r="G6" s="38" t="str"/>
      <x:c r="H6" s="38" t="str"/>
      <x:c r="I6" s="38" t="str"/>
      <x:c r="J6" s="38" t="str"/>
      <x:c r="K6" s="38" t="str"/>
      <x:c r="L6" s="38" t="str"/>
      <x:c r="M6" s="38" t="str"/>
      <x:c r="N6" s="43" t="str"/>
    </x:row>
    <x:row r="7">
      <x:c r="A7" s="42" t="str"/>
      <x:c r="B7" s="38" t="str"/>
      <x:c r="C7" s="38" t="str"/>
      <x:c r="D7" s="38" t="str"/>
      <x:c r="E7" s="38" t="str"/>
      <x:c r="F7" s="38" t="str"/>
      <x:c r="G7" s="38" t="str"/>
      <x:c r="H7" s="38" t="str"/>
      <x:c r="I7" s="38" t="str"/>
      <x:c r="J7" s="38" t="str"/>
      <x:c r="K7" s="38" t="str"/>
      <x:c r="L7" s="38" t="str"/>
      <x:c r="M7" s="38" t="str"/>
      <x:c r="N7" s="43" t="str"/>
    </x:row>
    <x:row r="8">
      <x:c r="A8" s="42" t="str"/>
      <x:c r="B8" s="38" t="str"/>
      <x:c r="C8" s="38" t="str"/>
      <x:c r="D8" s="38" t="str"/>
      <x:c r="E8" s="38" t="str"/>
      <x:c r="F8" s="38" t="str"/>
      <x:c r="G8" s="38" t="str"/>
      <x:c r="H8" s="38" t="str"/>
      <x:c r="I8" s="38" t="str"/>
      <x:c r="J8" s="38" t="str"/>
      <x:c r="K8" s="38" t="str"/>
      <x:c r="L8" s="38" t="str"/>
      <x:c r="M8" s="38" t="str"/>
      <x:c r="N8" s="43" t="str"/>
    </x:row>
    <x:row r="9">
      <x:c r="A9" s="42" t="str"/>
      <x:c r="B9" s="38" t="str"/>
      <x:c r="C9" s="38" t="str"/>
      <x:c r="D9" s="38" t="str"/>
      <x:c r="E9" s="38" t="str"/>
      <x:c r="F9" s="38" t="str"/>
      <x:c r="G9" s="38" t="str"/>
      <x:c r="H9" s="38" t="str"/>
      <x:c r="I9" s="38" t="str"/>
      <x:c r="J9" s="38" t="str"/>
      <x:c r="K9" s="38" t="str"/>
      <x:c r="L9" s="38" t="str"/>
      <x:c r="M9" s="38" t="str"/>
      <x:c r="N9" s="43" t="str"/>
    </x:row>
    <x:row r="10">
      <x:c r="A10" s="42" t="str"/>
      <x:c r="B10" s="38" t="str"/>
      <x:c r="C10" s="38" t="str"/>
      <x:c r="D10" s="38" t="str"/>
      <x:c r="E10" s="38" t="str"/>
      <x:c r="F10" s="38" t="str"/>
      <x:c r="G10" s="38" t="str"/>
      <x:c r="H10" s="38" t="str"/>
      <x:c r="I10" s="38" t="str"/>
      <x:c r="J10" s="38" t="str"/>
      <x:c r="K10" s="38" t="str"/>
      <x:c r="L10" s="38" t="str"/>
      <x:c r="M10" s="38" t="str"/>
      <x:c r="N10" s="43" t="str"/>
    </x:row>
    <x:row r="11">
      <x:c r="A11" s="42" t="str"/>
      <x:c r="B11" s="38" t="str"/>
      <x:c r="C11" s="38" t="str"/>
      <x:c r="D11" s="38" t="str"/>
      <x:c r="E11" s="38" t="str"/>
      <x:c r="F11" s="38" t="str"/>
      <x:c r="G11" s="38" t="str"/>
      <x:c r="H11" s="38" t="str"/>
      <x:c r="I11" s="38" t="str"/>
      <x:c r="J11" s="38" t="str"/>
      <x:c r="K11" s="38" t="str"/>
      <x:c r="L11" s="38" t="str"/>
      <x:c r="M11" s="38" t="str"/>
      <x:c r="N11" s="43" t="str"/>
    </x:row>
    <x:row r="12">
      <x:c r="A12" s="42" t="str"/>
      <x:c r="B12" s="38" t="str"/>
      <x:c r="C12" s="38" t="str"/>
      <x:c r="D12" s="38" t="str"/>
      <x:c r="E12" s="38" t="str"/>
      <x:c r="F12" s="38" t="str"/>
      <x:c r="G12" s="38" t="str"/>
      <x:c r="H12" s="38" t="str"/>
      <x:c r="I12" s="38" t="str"/>
      <x:c r="J12" s="38" t="str"/>
      <x:c r="K12" s="38" t="str"/>
      <x:c r="L12" s="38" t="str"/>
      <x:c r="M12" s="38" t="str"/>
      <x:c r="N12" s="43" t="str"/>
    </x:row>
    <x:row r="13">
      <x:c r="A13" s="42" t="str"/>
      <x:c r="B13" s="38" t="str"/>
      <x:c r="C13" s="38" t="str"/>
      <x:c r="D13" s="38" t="str"/>
      <x:c r="E13" s="38" t="str"/>
      <x:c r="F13" s="38" t="str"/>
      <x:c r="G13" s="38" t="str"/>
      <x:c r="H13" s="38" t="str"/>
      <x:c r="I13" s="38" t="str"/>
      <x:c r="J13" s="38" t="str"/>
      <x:c r="K13" s="38" t="str"/>
      <x:c r="L13" s="38" t="str"/>
      <x:c r="M13" s="38" t="str"/>
      <x:c r="N13" s="43" t="str"/>
    </x:row>
    <x:row r="14">
      <x:c r="A14" s="42" t="str"/>
      <x:c r="B14" s="38" t="str"/>
      <x:c r="C14" s="38" t="str"/>
      <x:c r="D14" s="38" t="str"/>
      <x:c r="E14" s="38" t="str"/>
      <x:c r="F14" s="38" t="str"/>
      <x:c r="G14" s="38" t="str"/>
      <x:c r="H14" s="38" t="str"/>
      <x:c r="I14" s="38" t="str"/>
      <x:c r="J14" s="38" t="str"/>
      <x:c r="K14" s="38" t="str"/>
      <x:c r="L14" s="38" t="str"/>
      <x:c r="M14" s="38" t="str"/>
      <x:c r="N14" s="43" t="str"/>
    </x:row>
    <x:row r="15">
      <x:c r="A15" s="42" t="str"/>
      <x:c r="B15" s="38" t="str"/>
      <x:c r="C15" s="38" t="str"/>
      <x:c r="D15" s="38" t="str"/>
      <x:c r="E15" s="38" t="str"/>
      <x:c r="F15" s="38" t="str"/>
      <x:c r="G15" s="38" t="str"/>
      <x:c r="H15" s="38" t="str"/>
      <x:c r="I15" s="38" t="str"/>
      <x:c r="J15" s="38" t="str"/>
      <x:c r="K15" s="38" t="str"/>
      <x:c r="L15" s="38" t="str"/>
      <x:c r="M15" s="38" t="str"/>
      <x:c r="N15" s="43" t="str"/>
    </x:row>
    <x:row r="16">
      <x:c r="A16" s="42" t="str"/>
      <x:c r="B16" s="38" t="str"/>
      <x:c r="C16" s="38" t="str"/>
      <x:c r="D16" s="38" t="str"/>
      <x:c r="E16" s="38" t="str"/>
      <x:c r="F16" s="38" t="str"/>
      <x:c r="G16" s="38" t="str"/>
      <x:c r="H16" s="38" t="str"/>
      <x:c r="I16" s="38" t="str"/>
      <x:c r="J16" s="38" t="str"/>
      <x:c r="K16" s="38" t="str"/>
      <x:c r="L16" s="38" t="str"/>
      <x:c r="M16" s="38" t="str"/>
      <x:c r="N16" s="43" t="str"/>
    </x:row>
    <x:row r="17">
      <x:c r="A17" s="42" t="str"/>
      <x:c r="B17" s="38" t="str"/>
      <x:c r="C17" s="38" t="str"/>
      <x:c r="D17" s="38" t="str"/>
      <x:c r="E17" s="38" t="str"/>
      <x:c r="F17" s="38" t="str"/>
      <x:c r="G17" s="38" t="str"/>
      <x:c r="H17" s="38" t="str"/>
      <x:c r="I17" s="38" t="str"/>
      <x:c r="J17" s="38" t="str"/>
      <x:c r="K17" s="38" t="str"/>
      <x:c r="L17" s="38" t="str"/>
      <x:c r="M17" s="38" t="str"/>
      <x:c r="N17" s="43" t="str"/>
    </x:row>
    <x:row r="18">
      <x:c r="A18" s="42" t="str"/>
      <x:c r="B18" s="38" t="str"/>
      <x:c r="C18" s="38" t="str"/>
      <x:c r="D18" s="38" t="str"/>
      <x:c r="E18" s="38" t="str"/>
      <x:c r="F18" s="38" t="str"/>
      <x:c r="G18" s="38" t="str"/>
      <x:c r="H18" s="38" t="str"/>
      <x:c r="I18" s="38" t="str"/>
      <x:c r="J18" s="38" t="str"/>
      <x:c r="K18" s="38" t="str"/>
      <x:c r="L18" s="38" t="str"/>
      <x:c r="M18" s="38" t="str"/>
      <x:c r="N18" s="43" t="str"/>
    </x:row>
    <x:row r="19">
      <x:c r="A19" s="42" t="str"/>
      <x:c r="B19" s="38" t="str"/>
      <x:c r="C19" s="38" t="str"/>
      <x:c r="D19" s="38" t="str"/>
      <x:c r="E19" s="38" t="str"/>
      <x:c r="F19" s="38" t="str"/>
      <x:c r="G19" s="38" t="str"/>
      <x:c r="H19" s="38" t="str"/>
      <x:c r="I19" s="38" t="str"/>
      <x:c r="J19" s="38" t="str"/>
      <x:c r="K19" s="38" t="str"/>
      <x:c r="L19" s="38" t="str"/>
      <x:c r="M19" s="38" t="str"/>
      <x:c r="N19" s="43" t="str"/>
    </x:row>
    <x:row r="20">
      <x:c r="A20" s="42" t="str"/>
      <x:c r="B20" s="38" t="str"/>
      <x:c r="C20" s="38" t="str"/>
      <x:c r="D20" s="38" t="str"/>
      <x:c r="E20" s="38" t="str"/>
      <x:c r="F20" s="38" t="str"/>
      <x:c r="G20" s="38" t="str"/>
      <x:c r="H20" s="38" t="str"/>
      <x:c r="I20" s="38" t="str"/>
      <x:c r="J20" s="38" t="str"/>
      <x:c r="K20" s="38" t="str"/>
      <x:c r="L20" s="38" t="str"/>
      <x:c r="M20" s="38" t="str"/>
      <x:c r="N20" s="43" t="str"/>
    </x:row>
    <x:row r="21">
      <x:c r="A21" s="42" t="str"/>
      <x:c r="B21" s="38" t="str"/>
      <x:c r="C21" s="38" t="str"/>
      <x:c r="D21" s="38" t="str"/>
      <x:c r="E21" s="38" t="str"/>
      <x:c r="F21" s="38" t="str"/>
      <x:c r="G21" s="38" t="str"/>
      <x:c r="H21" s="38" t="str"/>
      <x:c r="I21" s="38" t="str"/>
      <x:c r="J21" s="38" t="str"/>
      <x:c r="K21" s="38" t="str"/>
      <x:c r="L21" s="38" t="str"/>
      <x:c r="M21" s="38" t="str"/>
      <x:c r="N21" s="43" t="str"/>
    </x:row>
    <x:row r="22">
      <x:c r="A22" s="42" t="str"/>
      <x:c r="B22" s="38" t="str"/>
      <x:c r="C22" s="38" t="str"/>
      <x:c r="D22" s="38" t="str"/>
      <x:c r="E22" s="38" t="str"/>
      <x:c r="F22" s="38" t="str"/>
      <x:c r="G22" s="38" t="str"/>
      <x:c r="H22" s="38" t="str"/>
      <x:c r="I22" s="38" t="str"/>
      <x:c r="J22" s="38" t="str"/>
      <x:c r="K22" s="38" t="str"/>
      <x:c r="L22" s="38" t="str"/>
      <x:c r="M22" s="38" t="str"/>
      <x:c r="N22" s="43" t="str"/>
    </x:row>
    <x:row r="23">
      <x:c r="A23" s="42" t="str"/>
      <x:c r="B23" s="38" t="str"/>
      <x:c r="C23" s="38" t="str"/>
      <x:c r="D23" s="38" t="str"/>
      <x:c r="E23" s="38" t="str"/>
      <x:c r="F23" s="38" t="str"/>
      <x:c r="G23" s="38" t="str"/>
      <x:c r="H23" s="38" t="str"/>
      <x:c r="I23" s="38" t="str"/>
      <x:c r="J23" s="38" t="str"/>
      <x:c r="K23" s="38" t="str"/>
      <x:c r="L23" s="38" t="str"/>
      <x:c r="M23" s="38" t="str"/>
      <x:c r="N23" s="43" t="str"/>
    </x:row>
    <x:row r="24">
      <x:c r="A24" s="42" t="str"/>
      <x:c r="B24" s="38" t="str"/>
      <x:c r="C24" s="38" t="str"/>
      <x:c r="D24" s="38" t="str"/>
      <x:c r="E24" s="38" t="str"/>
      <x:c r="F24" s="38" t="str"/>
      <x:c r="G24" s="38" t="str"/>
      <x:c r="H24" s="38" t="str"/>
      <x:c r="I24" s="38" t="str"/>
      <x:c r="J24" s="38" t="str"/>
      <x:c r="K24" s="38" t="str"/>
      <x:c r="L24" s="38" t="str"/>
      <x:c r="M24" s="38" t="str"/>
      <x:c r="N24" s="43" t="str"/>
    </x:row>
    <x:row r="25">
      <x:c r="A25" s="42" t="str"/>
      <x:c r="B25" s="38" t="str"/>
      <x:c r="C25" s="38" t="str"/>
      <x:c r="D25" s="38" t="str"/>
      <x:c r="E25" s="38" t="str"/>
      <x:c r="F25" s="38" t="str"/>
      <x:c r="G25" s="38" t="str"/>
      <x:c r="H25" s="38" t="str"/>
      <x:c r="I25" s="38" t="str"/>
      <x:c r="J25" s="38" t="str"/>
      <x:c r="K25" s="38" t="str"/>
      <x:c r="L25" s="38" t="str"/>
      <x:c r="M25" s="38" t="str"/>
      <x:c r="N25" s="43" t="str"/>
    </x:row>
    <x:row r="26">
      <x:c r="A26" s="42" t="str"/>
      <x:c r="B26" s="38" t="str"/>
      <x:c r="C26" s="38" t="str"/>
      <x:c r="D26" s="38" t="str"/>
      <x:c r="E26" s="38" t="str"/>
      <x:c r="F26" s="38" t="str"/>
      <x:c r="G26" s="38" t="str"/>
      <x:c r="H26" s="38" t="str"/>
      <x:c r="I26" s="38" t="str"/>
      <x:c r="J26" s="38" t="str"/>
      <x:c r="K26" s="38" t="str"/>
      <x:c r="L26" s="38" t="str"/>
      <x:c r="M26" s="38" t="str"/>
      <x:c r="N26" s="43" t="str"/>
    </x:row>
    <x:row r="27">
      <x:c r="A27" s="42" t="str"/>
      <x:c r="B27" s="38" t="str"/>
      <x:c r="C27" s="38" t="str"/>
      <x:c r="D27" s="38" t="str"/>
      <x:c r="E27" s="38" t="str"/>
      <x:c r="F27" s="38" t="str"/>
      <x:c r="G27" s="38" t="str"/>
      <x:c r="H27" s="38" t="str"/>
      <x:c r="I27" s="38" t="str"/>
      <x:c r="J27" s="38" t="str"/>
      <x:c r="K27" s="38" t="str"/>
      <x:c r="L27" s="38" t="str"/>
      <x:c r="M27" s="38" t="str"/>
      <x:c r="N27" s="43" t="str"/>
    </x:row>
    <x:row r="28">
      <x:c r="A28" s="42" t="str"/>
      <x:c r="B28" s="38" t="str"/>
      <x:c r="C28" s="38" t="str"/>
      <x:c r="D28" s="38" t="str"/>
      <x:c r="E28" s="38" t="str"/>
      <x:c r="F28" s="38" t="str"/>
      <x:c r="G28" s="38" t="str"/>
      <x:c r="H28" s="38" t="str"/>
      <x:c r="I28" s="38" t="str"/>
      <x:c r="J28" s="38" t="str"/>
      <x:c r="K28" s="38" t="str"/>
      <x:c r="L28" s="38" t="str"/>
      <x:c r="M28" s="38" t="str"/>
      <x:c r="N28" s="43" t="str"/>
    </x:row>
    <x:row r="29">
      <x:c r="A29" s="42" t="str"/>
      <x:c r="B29" s="38" t="str"/>
      <x:c r="C29" s="38" t="str"/>
      <x:c r="D29" s="38" t="str"/>
      <x:c r="E29" s="38" t="str"/>
      <x:c r="F29" s="38" t="str"/>
      <x:c r="G29" s="38" t="str"/>
      <x:c r="H29" s="38" t="str"/>
      <x:c r="I29" s="38" t="str"/>
      <x:c r="J29" s="38" t="str"/>
      <x:c r="K29" s="38" t="str"/>
      <x:c r="L29" s="38" t="str"/>
      <x:c r="M29" s="38" t="str"/>
      <x:c r="N29" s="43" t="str"/>
    </x:row>
    <x:row r="30">
      <x:c r="A30" s="42" t="str"/>
      <x:c r="B30" s="38" t="str"/>
      <x:c r="C30" s="38" t="str"/>
      <x:c r="D30" s="38" t="str"/>
      <x:c r="E30" s="38" t="str"/>
      <x:c r="F30" s="38" t="str"/>
      <x:c r="G30" s="38" t="str"/>
      <x:c r="H30" s="38" t="str"/>
      <x:c r="I30" s="38" t="str"/>
      <x:c r="J30" s="38" t="str"/>
      <x:c r="K30" s="38" t="str"/>
      <x:c r="L30" s="38" t="str"/>
      <x:c r="M30" s="38" t="str"/>
      <x:c r="N30" s="43" t="str"/>
    </x:row>
    <x:row r="31">
      <x:c r="A31" s="44" t="str"/>
      <x:c r="B31" s="130" t="str"/>
      <x:c r="C31" s="130" t="str"/>
      <x:c r="D31" s="130" t="str"/>
      <x:c r="E31" s="130" t="str"/>
      <x:c r="F31" s="130" t="str"/>
      <x:c r="G31" s="130" t="str"/>
      <x:c r="H31" s="130" t="str"/>
      <x:c r="I31" s="130" t="str"/>
      <x:c r="J31" s="130" t="str"/>
      <x:c r="K31" s="130" t="str"/>
      <x:c r="L31" s="130" t="str"/>
      <x:c r="M31" s="130" t="str"/>
      <x:c r="N31" s="45" t="str"/>
    </x:row>
  </x:sheetData>
  <x:dataValidations count="1">
    <x:dataValidation type="list" sqref="K2:K31">
      <x:formula1>"过强,过弱,聚光过多,聚光不足,循环问题,牌序问题,伴生数量,费用问题,机制问题,正常"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69a5a0484b4404"/>
  </x:tableParts>
</x:worksheet>
</file>